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인" sheetId="1" r:id="rId5"/>
    <sheet state="visible" name="규칙" sheetId="2" r:id="rId6"/>
    <sheet state="visible" name="스크립트_공통" sheetId="3" r:id="rId7"/>
    <sheet state="visible" name="길" sheetId="4" r:id="rId8"/>
    <sheet state="visible" name="장소" sheetId="5" r:id="rId9"/>
    <sheet state="visible" name="인카운터" sheetId="6" r:id="rId10"/>
    <sheet state="visible" name="의뢰" sheetId="7" r:id="rId11"/>
    <sheet state="visible" name="전투" sheetId="8" r:id="rId12"/>
    <sheet state="visible" name="채집_보물" sheetId="9" r:id="rId13"/>
    <sheet state="visible" name="장비" sheetId="10" r:id="rId14"/>
    <sheet state="visible" name="상점" sheetId="11" r:id="rId15"/>
  </sheets>
  <definedNames/>
  <calcPr/>
</workbook>
</file>

<file path=xl/sharedStrings.xml><?xml version="1.0" encoding="utf-8"?>
<sst xmlns="http://schemas.openxmlformats.org/spreadsheetml/2006/main" count="1525" uniqueCount="874">
  <si>
    <t>항목</t>
  </si>
  <si>
    <t>장소 A</t>
  </si>
  <si>
    <t>상황</t>
  </si>
  <si>
    <t>값</t>
  </si>
  <si>
    <t>장소 B</t>
  </si>
  <si>
    <t>때</t>
  </si>
  <si>
    <t>코드</t>
  </si>
  <si>
    <t>문장</t>
  </si>
  <si>
    <t>표시 방식</t>
  </si>
  <si>
    <t>위험도</t>
  </si>
  <si>
    <t>이동 시간(초)</t>
  </si>
  <si>
    <t>사건 확률</t>
  </si>
  <si>
    <t>전투 확률</t>
  </si>
  <si>
    <t>비고</t>
  </si>
  <si>
    <t>장소 수</t>
  </si>
  <si>
    <t>시작</t>
  </si>
  <si>
    <t>협곡</t>
  </si>
  <si>
    <t>설원</t>
  </si>
  <si>
    <t>high</t>
  </si>
  <si>
    <t>캐릭터 만들기 안내</t>
  </si>
  <si>
    <t>당신이 어떤 축복을 안고 태어났는지 고하라.
총 16점을 자유롭게 분배한다. 메이킹 시점 스탯의 하한은 6, 상한은 13이다.</t>
  </si>
  <si>
    <t>즉시</t>
  </si>
  <si>
    <t>게임 시작</t>
  </si>
  <si>
    <t>제국의 수도 인근에 있는 작은 마을. 
수도와 인접한 덕에 재앙이 일어나기 시작한 당시 발빠르게 축복을 받았고, 덕분에 강한 몬스터가 상대적으로 적다고 한다. 
그만큼 축복의 영향력을 벗어난 구역에는 손쓸 수 없이 강한 것들도 있는 모양이지만.
어쨌든, 모험을 시작하기에 알맞은 곳이다.
당신의 부모, 보호자, 혹은 지난 동료나 선배 모험가는 이렇게 말했을 것이다─그 마을에 도착하면, 여관에 먼저 가 보라고.</t>
  </si>
  <si>
    <t>타자</t>
  </si>
  <si>
    <t>시작 마을</t>
  </si>
  <si>
    <t>상점 기본</t>
  </si>
  <si>
    <t>마을의 유일한 상점. 이름을 표시하는 팻말에는 유려한 글씨로 이렇게 적혀 있다: 넛츠 프레젠트. 
가게 내부를 몇 번 증축한 듯 벽의 한쪽이 판자로 기워져 있고, 각종 초보 모험가에게 알맞을 법한 것들이 진열되어 있다.</t>
  </si>
  <si>
    <t>상점 - 상인 인사</t>
  </si>
  <si>
    <t>사냥개 한 마리가 당신에게 호기심을 품고 고개를 숙여 냄새를 맡는다. 개가 코를 들고 당신에게 다가서려 하면, 흰 손이 그것을 막는다.
긴 귀에 머리카락을 걸친 느슨한 인상의 주인이 미소를 띠고 가볍게 인사한다.
상인, 케르트 | 어서 와. 뭐 좀 살래?</t>
  </si>
  <si>
    <t>상점 - 상인 이야기</t>
  </si>
  <si>
    <t>상인, 케르트 | 이곳은 늘 모험을 시작하려는 젊은 모험가들로 북적이지.
상인, 케르트 | 덕분에 수도에 기생하는 꼴이었던 옛날의 모습을 완전히 벗어던지고, 이렇게나 많은 사람으로 붐비고 있어.
케르트의 시선이 문의 바깥으로 향한다. 낯선 사람들이 바쁘게 걸어다니고, 갓 만든 음식 냄새가 부드럽게 풍겨 온다.
상인, 케르트 | 가끔은 용이 불러온 재앙이 기쁜 일인지, 슬픈 일인지 잘 모르겠다는 생각도 들어. ...후후, 실언이었을까.</t>
  </si>
  <si>
    <t>상점 - 상인 이야기 후 인사</t>
  </si>
  <si>
    <t>상인, 케르트 | 물건은 얼마든지 구경해도 좋아. 늘 네게 부담 없는 거래처가 되길 바라.</t>
  </si>
  <si>
    <t>여관 기본</t>
  </si>
  <si>
    <t>높은 음 여관. 수도 반대편에 있는 두 길의 사이에 이리로 오라는 듯 자리잡고 있다. 
여관 입구의 흙길로 얼마나 많은 사람이 오갔는지, 더없이 단단해 먼지조차 일지 않는다. 
낡은 마룻바닥에 여러 명의 발소리가 울리고, 그 안쪽으로부터는 갓 만든 음식의 냄새가 흘러나온다.</t>
  </si>
  <si>
    <t>마을 수</t>
  </si>
  <si>
    <t>여관 - 여관주인 인사</t>
  </si>
  <si>
    <t>여관의 안쪽으로 들어서면, 주인이 바쁘게 장부를 쓰다가 당신을 보고 고개를 든다.
여관 주인, 알토 | 어머, 정신 좀 봐! 어서오세요, 높은 음 여관이랍니다!</t>
  </si>
  <si>
    <t>여관 - 여관주인 이야기</t>
  </si>
  <si>
    <t>여관 주인, 알토 | 지난 여름에, 마을이 곰의 습격을 받았단다. 이 주변에서는 잘 발견되지 않는 아주 흉포하고 무서운 녀석이었지!
여관 주인, 알토 | 평범한 마을이었다면 무너지고 말았을 텐데, 다행히 마을에 온 초보 모험가들이 열심히 힘을 써 주었어. 많이들 다치고 죽었지만 마을만은 무사했단다.
문득 무언가 발코에 닿는다. 더러워진 성표가 주인을 잃고 발에 차여 여관 바닥을 구르고 있다.
여관 주인, 알토 | 축복은 이미 끝났어. 새로운 모험가가 이 마을을 구하고 있을 뿐이지.</t>
  </si>
  <si>
    <t>여관 - 여관 휴식</t>
  </si>
  <si>
    <t>여관 주인, 알토 | ...괜찮니? 안색이 많이 나쁜 것 같은데.
여관 주인, 알토 | 여기, 위층에 있는 방의 열쇠란다. 몸이 나아질 때까지는 무리하지 말고 쉬도록 하렴. 숙박비는 후불로 내도 괜찮으니까, 알았지?
알토가 당신의 손에 나무로 만들어진 표식이 달린 열쇠를 하나 쥐여 준다. 생각보다 묵직하다.</t>
  </si>
  <si>
    <t>여관 - 여관 휴식 후</t>
  </si>
  <si>
    <t>시간을 들여 다친 곳을 치료하고 휴식을 취했다. 
여관 키를 반납하고, 여관 앞 수없이 밟혀 단단해진 흙 위로 걸음을 내딛는다.</t>
  </si>
  <si>
    <t>길 수</t>
  </si>
  <si>
    <t>여관 - 휴식 (체력이 가득할 때)</t>
  </si>
  <si>
    <t>알토가 당신을 슬픈 표정으로 보다가, 곧 입을 연다.
여관 주인, 알토 | ...떠나는 것이 많이 무섭겠지. 가끔은 매정히 보내는 우리가 원망스러울지도 몰라. 그래도 이해해 다오.
여관 주인, 알토 | 방이 많지 않아 장기투숙은 받지 않고 있단다. ...모험을 그만두고 싶다면, 다른 마을을 알아보렴.</t>
  </si>
  <si>
    <t>눈 마을</t>
  </si>
  <si>
    <t>산(서)</t>
  </si>
  <si>
    <t>mid</t>
  </si>
  <si>
    <t>상점이라 표시되어 있는 팻말을 따라 걸으면, 그보다는 마법사의 공방처럼 보이는 작은 건물 하나가 있다.
방 안에는 사람도 들어갈 듯한 솥이 센 불에 앉아 끓고 있고, 거기서부터 나는 오묘한 풀내음과 몸을 감싸는 온기가 무척이나 안락하게 느껴진다.</t>
  </si>
  <si>
    <t>몬스터 종류</t>
  </si>
  <si>
    <t>솥을 젓던 키가 작은 곱슬머리의 주인이 인기척에 깜짝 놀라 자리에서 펄쩍 뛰었다가, 주걱을 내려놓고 종종걸음으로 걸어 계산대의 앞에 선다.
상인, 헬라 | 마, 많은 게 있진 않지만... 편하게 둘러보세요!</t>
  </si>
  <si>
    <t>헬라가 눈이 펑펑 내리는 바깥을 잠깐 보았다가, 상점의 문을 절반쯤 닫는다. 들어오는 냉기가 확 줄어드는 것이 피부로 느껴진다.
상인, 헬라 | 그, 그거 아세요? 옛날에는 여기가... 이렇게 춥지는 않았대요. 용이 화가 난 뒤부터... 네, 어른들 말에 따르면요. 그래서 사람도 많이 줄었다고...
상인, 헬라 | 무섭기도 해요... 하지만, 수도에서 지내려면, 너무 많은 돈이 필요해서...
상인, 헬라 | ...다음에 모험가 님이 찾아오실 때까지, 우리 마을이 남아 있을까요? 집째로 얼음상이 되어 있지는 않을까요?</t>
  </si>
  <si>
    <t>고유 기믹 몬스터</t>
  </si>
  <si>
    <t>상인, 헬라 | 저, 혹시 괜찮다면, 물건을 구경하시는 동안... 솥을 좀, 저어도 될까요...?</t>
  </si>
  <si>
    <t>지붕에 눈이 잔뜩 덮여 무슨 색인지 알기 어려운 오래되고 낡은 건물. 문 위에는 잘 꾸민 글자의 외곽을 따라 자른 나무 간판이 걸려 있다. '고요한 메아리 여관'.
보온을 위해서인지 굳게 닫힌 문의 쇠 고리에는, 혹시나 장갑을 끼지 않은 이가 동상을 입지 않도록 천을 둘러 묶어 두었다.
내부로 들어서자 새하얗고 파랗던 시야가 금빛으로 가득 찬다. 따스한 커피 향이 난다.</t>
  </si>
  <si>
    <t>작은 키에 퉁명스러운 표정의 주인이 동물 가죽으로 표면을 덮은 의자에 앉아, 당신을 빤히 본다. 
무언가 의사표현을 하려고 하면 불만스런 투로 말을 끊는다.
여관 주인, 이사야 | 그 전에, 문부터 닫아. 열이 다 나가잖아.</t>
  </si>
  <si>
    <t>인카운터 선택지 수</t>
  </si>
  <si>
    <t>여관 주인, 이사야 | 쉬러 온 거지? 운이 좋네. 쓸 수 있는 방이 남았거든.
여관 주인, 이사야 | 2층 복도 가운데에서 왼쪽에 있는 방을 써. 창문은 열지 마. 이불이 얼어 버리니까.
이사야가 나무 열쇠 하나를 건넨다. 무척 튼튼하다.</t>
  </si>
  <si>
    <t>여관 주인, 이사야 | 용이 인간을 적대하고, 동물이 흉포해지고, 마법 생물들이 깨어나 인간을 공격하거나 마을을 부수고...
이사야가 읽고 있던 책의 페이지를 넘긴다. 그는 당신과 대화를 하면서도, 책에서 시선을 떼지 않는다.
여관 주인, 이사야 | 난 그것들에 대응할 수 있다는 생각이 도저히 들지 않는데, 왜 매번 모험가라는 사람들은 꼭 상처투성이로 돌아오는지.
여관 주인, 이사야 | 기어코 살아남아서, 다시 뛰쳐나가고... 그 생명력이 도무지 이해가 되질 않아.</t>
  </si>
  <si>
    <t>시스템 규칙</t>
  </si>
  <si>
    <t>시간을 들여 다친 곳을 치료하고 휴식을 취했다. 
여관 키를 반납하고, 어느새 익숙해진 금빛 대신 희고 푸른 곳으로 걸음을 돌린다.</t>
  </si>
  <si>
    <t>이사야가 실눈을 뜨고 당신의 상태를 어림한다.
여관 주인, 이사야 | 어디가 아픈 것 같지는 않은데.
여관 주인, 이사야 | 미안하지만, 돌아가. 간밤에 추위로 창문 몇 개가 깨지는 바람에 쓸 수 있는 방이 적거든.</t>
  </si>
  <si>
    <t>항구 마을</t>
  </si>
  <si>
    <t>장비 수</t>
  </si>
  <si>
    <t>A</t>
  </si>
  <si>
    <t>산(동)</t>
  </si>
  <si>
    <t>상인, 포체 | B</t>
  </si>
  <si>
    <t>C</t>
  </si>
  <si>
    <t>설명</t>
  </si>
  <si>
    <t>D</t>
  </si>
  <si>
    <t>의뢰 수</t>
  </si>
  <si>
    <t>여관 주인, 나디아 | B</t>
  </si>
  <si>
    <t>주사위</t>
  </si>
  <si>
    <t>동굴(북)</t>
  </si>
  <si>
    <t>1D20</t>
  </si>
  <si>
    <t>20면체 주사위 1개. 눈 + 판정 보정 ≥ 목표 달성치면 성공</t>
  </si>
  <si>
    <t>의뢰 보상 금화 합계</t>
  </si>
  <si>
    <t>E</t>
  </si>
  <si>
    <t>펌블</t>
  </si>
  <si>
    <t>숨겨진 보물 금화 합계</t>
  </si>
  <si>
    <t>마을</t>
  </si>
  <si>
    <t>교관 인사</t>
  </si>
  <si>
    <t>쓰는 눈(보정 전)이 1이면 무조건 실패. 주사위가 여럿이면 모두 1이어야 함</t>
  </si>
  <si>
    <t>[교관] 금화를 내면 단련을 도와주지. 기본 스탯이 1씩 오른다네.</t>
  </si>
  <si>
    <t>숲</t>
  </si>
  <si>
    <t>대장장이 인사</t>
  </si>
  <si>
    <t>[대장장이 {이름}] 재료를 가져오면 장비를 만들어 주지. 가지고 있는 장비는 여기서 바꿔 낄 수 있네.  (항구 마을 헤일리 / 눈 마을 파로)</t>
  </si>
  <si>
    <t>크리티컬</t>
  </si>
  <si>
    <t>쓰는 눈(보정 전)이 20일 때만 무조건 성공. 보정 후 결과가 20을 넘어도 크리티컬이 아님</t>
  </si>
  <si>
    <t>관문</t>
  </si>
  <si>
    <t>경비원과 대화</t>
  </si>
  <si>
    <t>[경비원] 멈추시오. 로렌시아 제국으로 가는 길은 지금 출입이 금지되어 있소. 위에서 명령이 내려올 때까지는 누구도 지나갈 수 없소.</t>
  </si>
  <si>
    <t>이번에 바뀐 점</t>
  </si>
  <si>
    <t>판정 보정</t>
  </si>
  <si>
    <t>스탯 ÷ 3 (버림)</t>
  </si>
  <si>
    <t>장비로 오른 스탯 포함. 6~8 → +2, 9~11 → +3, 12~14 → +4, 15~17 → +5</t>
  </si>
  <si>
    <t>캐릭터 기본 스탯</t>
  </si>
  <si>
    <t>지도를 새 그림에 맞춰 다시 그림: 장소 18곳 + 관문 너머 출입 금지 지역 3곳(로렌시아 제국·항구·기차역), 길 색은 그림대로 초록(안전)·노랑(보통)·빨강(위험).</t>
  </si>
  <si>
    <t>캐릭터 만들기에서 모든 스탯의 시작 값</t>
  </si>
  <si>
    <t>호수</t>
  </si>
  <si>
    <t>low</t>
  </si>
  <si>
    <t>캐릭터 만들기 점수</t>
  </si>
  <si>
    <t>자유롭게 나누는 점수 (모두 써야 시작)</t>
  </si>
  <si>
    <t>특별한 길: 오아시스 → 해변, 오아시스 → 사막은 일방통행(화살표). 고대 유적 ↔ 오아시스는 '숨겨진 길 찾기'(감지, 어려움 15)에 성공해야 열림. 관문 → 로렌시아 제국은 출입 금지.</t>
  </si>
  <si>
    <t>캐릭터 만들기 상한</t>
  </si>
  <si>
    <t>채집을 6종류로 정리: 낚시(회어·금린어), 채집A(약초·독초), 채집B(산딸기·나무 열매), 버섯 따기(버섯·독버섯), 사막 채집(선인장 열매·회전초), 광석(철광석·유물 조각). 한 번에 확률대로 하나를 얻음.</t>
  </si>
  <si>
    <t>만들 때 한 스탯의 최대치</t>
  </si>
  <si>
    <t>출입 금지 지역을 누를 때</t>
  </si>
  <si>
    <t>[{지역}] 관문 너머의 땅이다. 지금은 출입이 금지되어 있다.</t>
  </si>
  <si>
    <t>상점</t>
  </si>
  <si>
    <t>무기 구매</t>
  </si>
  <si>
    <t>{무기}를 사서 바로 착용했다! 이제 공격에 {스탯}을 쓴다.</t>
  </si>
  <si>
    <t>훈련 상한</t>
  </si>
  <si>
    <t>훈련장에서 올릴 수 있는 기본 스탯 최대치 (장비 제외)</t>
  </si>
  <si>
    <t>물건 구매</t>
  </si>
  <si>
    <t>{물건}을 샀다!</t>
  </si>
  <si>
    <t>훈련 비용 배수</t>
  </si>
  <si>
    <t>마을 NPC 이름: 시작 마을(상인 케르트, 여관 알토 / 대장간 없음), 항구 마을(상인 포체, 대장장이 헤일리, 여관 캉캉), 눈 마을(상인 헬라, 대장장이 파로, 여관 이사야), 관문(경비원).</t>
  </si>
  <si>
    <t>다음 1점 비용 = 지금 기본 스탯 × 이 값 (금화)</t>
  </si>
  <si>
    <t>재료 판매</t>
  </si>
  <si>
    <t>{재료} {N}개를 팔아 금화 {N}닢을 받았다. / 재료를 모두 팔아 금화 {N}닢을 받았다.</t>
  </si>
  <si>
    <t>의뢰 대사와 목표를 새 지도에 맞게 수정: 4번째 의뢰는 '배에 실을 약초'(약초 4개), 7번째는 '해충 퇴치약'(독초 3개).</t>
  </si>
  <si>
    <t>상점·훈련장</t>
  </si>
  <si>
    <t>체력 최대</t>
  </si>
  <si>
    <t>금화 부족</t>
  </si>
  <si>
    <t>금화가 부족하다.</t>
  </si>
  <si>
    <t>전투 패배, 함정으로 깎이고 마을에서 회복. 0이면 가장 가까운 마을에서 체력 5로 깨어남</t>
  </si>
  <si>
    <t>대장간</t>
  </si>
  <si>
    <t>제작</t>
  </si>
  <si>
    <t>대장장이 {이름}가 뚝딱뚝딱 두드리더니 {장비}를 완성했다!</t>
  </si>
  <si>
    <t>시작 금화</t>
  </si>
  <si>
    <t>장비 제작 재료를 새 재료로 교체(광석 → 철광석, 물고기 → 회어 등). '상점' 시트 판매가 계산이 지력 판정 보정 칸(B31)을 보도록 바로잡음.</t>
  </si>
  <si>
    <t>재료 부족</t>
  </si>
  <si>
    <t>재료가 부족하다.</t>
  </si>
  <si>
    <t>전투 HP</t>
  </si>
  <si>
    <t>전투마다 새로 시작하는 HP (체력과 별개)</t>
  </si>
  <si>
    <t>장비</t>
  </si>
  <si>
    <t>착용 (대장간·가방)</t>
  </si>
  <si>
    <t>{장비}를 착용했다! 공격 스탯: {스탯} / 장비 효과: {효과}</t>
  </si>
  <si>
    <t>읽는 법</t>
  </si>
  <si>
    <t>훈련장</t>
  </si>
  <si>
    <t>단련</t>
  </si>
  <si>
    <t>{스탯}을 단련했다! ({값})</t>
  </si>
  <si>
    <t>전투 라운드 간격(초)</t>
  </si>
  <si>
    <t>라운드를 쓰는 행동: 공격, 대응(기믹이 있을 때). 방어는 적이 공격할 때마다 반응</t>
  </si>
  <si>
    <t>이동</t>
  </si>
  <si>
    <t>이동 중</t>
  </si>
  <si>
    <t>{출발지}에서 {목적지}로 이동 중...  ▰▰▱▱ N초 남음</t>
  </si>
  <si>
    <t>즉시 (남은 시간 갱신)</t>
  </si>
  <si>
    <t>파란 글자는 게임 코드에서 가져온 값, 검은 글자는 계산식. 노란 칸(규칙, 상점의 지력 보정)을 바꾸면 관련 계산이 함께 바뀜.</t>
  </si>
  <si>
    <t>사건 중 전투 비율</t>
  </si>
  <si>
    <t>이동 중 사건이 일어났을 때 전투일 확률</t>
  </si>
  <si>
    <t>되돌아가기 (도망 후)</t>
  </si>
  <si>
    <t>{출발지}로 되돌아가는 중...</t>
  </si>
  <si>
    <t>이 표는 게임 파일(game.html)에서 바로 뽑아낸 값으로 만들었지만, 표를 고쳐도 게임에는 자동 반영되지 않음.</t>
  </si>
  <si>
    <t>의뢰 보고 알림 (도착)</t>
  </si>
  <si>
    <t>이동 시간 배율</t>
  </si>
  <si>
    <t>의뢰 [{제목}] 보고할 수 있다! ('행동'에서 {의뢰인}에게 보고하기)</t>
  </si>
  <si>
    <t>타자 (도착 묘사에 이어서)</t>
  </si>
  <si>
    <t>1이면 이동 1/3/5초</t>
  </si>
  <si>
    <t>늪지</t>
  </si>
  <si>
    <t>새 의뢰 알림 (도착)</t>
  </si>
  <si>
    <t>{의뢰인}이 할 이야기가 있는 것 같다.</t>
  </si>
  <si>
    <t>도전 시간 배율</t>
  </si>
  <si>
    <t>1이면 도전 1~5초</t>
  </si>
  <si>
    <t>스크립트</t>
  </si>
  <si>
    <t>도전</t>
  </si>
  <si>
    <t>진행 중</t>
  </si>
  <si>
    <t>{행동} 중...  ▰▰▱▱ N초 남음</t>
  </si>
  <si>
    <t>쿨타임 감시 시간(초)</t>
  </si>
  <si>
    <t>채집 성공 / 실패</t>
  </si>
  <si>
    <t>이 시간 안에</t>
  </si>
  <si>
    <t>{재료} {N}개를 얻었다. / 아무것도 얻지 못했다. 다시 도전해 보자.</t>
  </si>
  <si>
    <t>장소(도착 묘사·채집·보물 문장), 인카운터(상황·진행·성공·실패 문장), 의뢰(의뢰·진행·완료 대사), 전투(등장·기믹·공통 전투 문장), 스크립트_공통(인사·시스템 문장) 시트에 게임 속 문장을 모두 모아 둠.</t>
  </si>
  <si>
    <t>보물 찾기 실패</t>
  </si>
  <si>
    <t>아무것도 찾지 못했다. 다시 도전해 보자.</t>
  </si>
  <si>
    <t>쿨타임 횟수</t>
  </si>
  <si>
    <t>같은 장소 도전을 이만큼 하면</t>
  </si>
  <si>
    <t>숨겨진 길 찾기 성공</t>
  </si>
  <si>
    <t>무너진 벽 너머로 모래에 덮인 좁은 길을 찾아냈다! 남서쪽 오아시스로 이어지는 듯하다.</t>
  </si>
  <si>
    <t>쿨타임(초)</t>
  </si>
  <si>
    <t>이만큼 다시 할 수 없음 (걸렸을 때만 표시)</t>
  </si>
  <si>
    <t>숨겨진 길 찾기 실패</t>
  </si>
  <si>
    <t>무너진 벽만 보일 뿐, 길은 찾지 못했다.</t>
  </si>
  <si>
    <t>타자 효과 간격(ms)</t>
  </si>
  <si>
    <t>쿨타임</t>
  </si>
  <si>
    <t>대사·장소 묘사가 한 글자씩 나오는 간격. 이야기 칸을 클릭하면 바로 전부 나옴</t>
  </si>
  <si>
    <t>같은 일을 연달아 해서 지쳤다. 10초 쉬어야 다시 할 수 있다.</t>
  </si>
  <si>
    <t>의뢰</t>
  </si>
  <si>
    <t>의뢰 수락</t>
  </si>
  <si>
    <t>의뢰를 받았다! 목표: {목표}
({물건}을 받았다)</t>
  </si>
  <si>
    <t>초원</t>
  </si>
  <si>
    <t>체력</t>
  </si>
  <si>
    <t>체력 0</t>
  </si>
  <si>
    <t>체력이 바닥나 의식을 잃었다... 가장 가까운 마을({마을})에서 눈을 떴다. (체력 5로 회복)</t>
  </si>
  <si>
    <t>{ } 안은 게임 중 실제 값으로 바뀌는 자리. '타자'는 한 글자씩 나오며 이야기 칸을 클릭하면 바로 전부 나옴.</t>
  </si>
  <si>
    <t>단계</t>
  </si>
  <si>
    <t>이름</t>
  </si>
  <si>
    <t>목표 달성치</t>
  </si>
  <si>
    <t>시간 단계(초)</t>
  </si>
  <si>
    <t>도전 시간(초)</t>
  </si>
  <si>
    <t>매우 쉬움</t>
  </si>
  <si>
    <t>해변</t>
  </si>
  <si>
    <t>쉬움</t>
  </si>
  <si>
    <t>보통</t>
  </si>
  <si>
    <t>어려움</t>
  </si>
  <si>
    <t>매우 어려움</t>
  </si>
  <si>
    <t>목표 달성치와 시간은 공격, 방어, 대응, 도망, 도전에 공통으로 쓰임. 이동은 시간 단계 1/3/5만 씀.</t>
  </si>
  <si>
    <t>성공 확률 = 1D20에서 (눈 + 보정) ≥ 목표일 확률. 눈 1(5%)은 실패, 눈 20(5%)은 성공. 매직 주사위·행운의 추가 굴림은 제외.</t>
  </si>
  <si>
    <t>사막</t>
  </si>
  <si>
    <t>시간 단계</t>
  </si>
  <si>
    <t>고대 유적</t>
  </si>
  <si>
    <t>동굴(남)</t>
  </si>
  <si>
    <t>안전</t>
  </si>
  <si>
    <t>오아시스</t>
  </si>
  <si>
    <t>일방통행: 오아시스 → 해변만 가능</t>
  </si>
  <si>
    <t>위험</t>
  </si>
  <si>
    <t>일방통행: 오아시스 → 사막만 가능</t>
  </si>
  <si>
    <t>위험한 길은 지름길이라 빠르지만 사건이 잦음. 감지 판정 보정이 +2보다 1 높을 때마다 사건 확률 -2%p (최소 5%).</t>
  </si>
  <si>
    <t>숨겨진 길: 고대 유적에서 '숨겨진 길 찾기'에 성공하면 열림</t>
  </si>
  <si>
    <t>로렌시아 제국</t>
  </si>
  <si>
    <t>스탯</t>
  </si>
  <si>
    <t>효과</t>
  </si>
  <si>
    <t>근력</t>
  </si>
  <si>
    <t>근거리 무기(맨손 포함) 공격, 광석 캐기, 버티기</t>
  </si>
  <si>
    <t>출입 금지 (관문 경비원이 막음)</t>
  </si>
  <si>
    <t>항구</t>
  </si>
  <si>
    <t>정신</t>
  </si>
  <si>
    <t>방어 판정, 사역마 공격, 무시하기·그냥 두기 같은 선택</t>
  </si>
  <si>
    <t>민첩</t>
  </si>
  <si>
    <t>원거리 무기 공격, 도망 판정, 몸을 쓰는 회피</t>
  </si>
  <si>
    <t>재주</t>
  </si>
  <si>
    <t>낚시·약초·열매·버섯·사막 채집, 상자 열기</t>
  </si>
  <si>
    <t>관문 너머 지역 (현재 갈 수 없음)</t>
  </si>
  <si>
    <t>지력</t>
  </si>
  <si>
    <t>기차역</t>
  </si>
  <si>
    <t>마법 도구 공격, 재료 판매가 +10%/단계(9부터), 길 안내·거래 판단</t>
  </si>
  <si>
    <t>감지</t>
  </si>
  <si>
    <t>숨겨진 보물 찾기, 이동 중 사건 확률 -2%p/단계(9부터)</t>
  </si>
  <si>
    <t>행운</t>
  </si>
  <si>
    <t>모든 판정에서 주사위를 한 번 더 굴려 높은 눈을 쓸 확률 (행운 6이면 9%, 1점당 +3%)</t>
  </si>
  <si>
    <t>스탯 별 보정치</t>
  </si>
  <si>
    <t>스탯 값</t>
  </si>
  <si>
    <t>다음 1점 훈련 비용</t>
  </si>
  <si>
    <t>장소</t>
  </si>
  <si>
    <t>구분</t>
  </si>
  <si>
    <t>이어진 장소</t>
  </si>
  <si>
    <t>출현 몬스터</t>
  </si>
  <si>
    <t>시설</t>
  </si>
  <si>
    <t>도착했을 때 묘사 (타자 효과)</t>
  </si>
  <si>
    <t>채집 행동 (진행 문구)</t>
  </si>
  <si>
    <t>숨겨진 보물 발견 문장</t>
  </si>
  <si>
    <t>숲, 초원, 관문</t>
  </si>
  <si>
    <t>슬라임</t>
  </si>
  <si>
    <t>상점(케르트), 여관(알토)</t>
  </si>
  <si>
    <t>제국의 수도 인근에 있는 작은 마을. 
수도와 인접한 덕에 재앙이 일어나기 시작한 당시 발빠르게 축복을 받았고, 덕분에 강한 몬스터가 상대적으로 적다고 한다. 
그만큼 축복의 영향력을 벗어난 구역에는 손쓸 수 없이 강한 것들도 있는 모양이지만.</t>
  </si>
  <si>
    <t>마을 구석 살펴보기: 낡은 장독대 밑에서 숨겨진 보물상자를 찾았다! 금화 15닢을 얻었다!</t>
  </si>
  <si>
    <t>야생</t>
  </si>
  <si>
    <t>산(동), 시작 마을, 관문</t>
  </si>
  <si>
    <t>슬라임, 고블린, 멧돼지</t>
  </si>
  <si>
    <t>-</t>
  </si>
  <si>
    <t>[숲] 키 큰 나무가 햇빛을 가린다. 어디선가 새소리가 들린다.</t>
  </si>
  <si>
    <t>열매 따기(산딸기·나무 열매) - 열매 따는 중... / 버섯 따기(버섯·독버섯) - 버섯 따는 중...</t>
  </si>
  <si>
    <t>산(서), 늪지, 시작 마을, 사막</t>
  </si>
  <si>
    <t>멧돼지, 늑대</t>
  </si>
  <si>
    <t>[초원] 바람에 풀이 물결치는 넓은 초원이다. 멀리서 짐승 울음소리가 들린다.</t>
  </si>
  <si>
    <t>버섯 따기(버섯·독버섯) - 버섯 따는 중... / 열매 따기(산딸기·나무 열매) - 열매 따는 중...</t>
  </si>
  <si>
    <t>산(서), 항구 마을</t>
  </si>
  <si>
    <t>[호수] 잔잔한 호수에 구름이 비친다. 물가에 작은 배가 묶여 있다.</t>
  </si>
  <si>
    <t>낚시하기(회어·금린어) - 호숫가에서 낚시 중...</t>
  </si>
  <si>
    <t>협곡, 호수, 늪지, 초원</t>
  </si>
  <si>
    <t>늑대, 곰</t>
  </si>
  <si>
    <t>[산] 서쪽 산의 정상에 오르니 호수와 초원이 한눈에 내려다보인다.</t>
  </si>
  <si>
    <t>약초 채집(약초·독초) - 약초 채집 중... / 버섯 따기(버섯·독버섯) - 버섯 따는 중...</t>
  </si>
  <si>
    <t>정상 근처 살펴보기: 바위 아래에서 오래된 보물상자를 발견했다! 금화 12닢을 얻었다!</t>
  </si>
  <si>
    <t>눈 마을, 동굴(북), 숲</t>
  </si>
  <si>
    <t>[산] 바람이 거센 동쪽 산등성이다. 멀리 눈 덮인 봉우리가 보인다.</t>
  </si>
  <si>
    <t>약초 채집(약초·독초) - 약초 채집 중...</t>
  </si>
  <si>
    <t>산(서), 항구 마을, 초원</t>
  </si>
  <si>
    <t>독사, 악어</t>
  </si>
  <si>
    <t>[늪지] 발이 푹푹 빠지는 축축한 늪이다. 안개 사이로 무언가 움직인다.</t>
  </si>
  <si>
    <t>늪 속 살펴보기: 진흙 속에 가라앉은 보물상자를 건져 올렸다! 금화 18닢을 얻었다!</t>
  </si>
  <si>
    <t>호수, 늪지, 해변</t>
  </si>
  <si>
    <t>게</t>
  </si>
  <si>
    <t>상점(포체), 대장간·훈련장(헤일리), 여관(캉캉)</t>
  </si>
  <si>
    <t>[항구 마을] 갈매기가 날고 짠 바람이 부는 항구 마을이다. 배와 상인으로 북적인다.</t>
  </si>
  <si>
    <t>부두 창고 살펴보기: 낡은 창고 구석에서 숨겨진 보물상자를 찾았다! 금화 18닢을 얻었다!</t>
  </si>
  <si>
    <t>항구 마을, 오아시스(일방통행으로 들어옴)</t>
  </si>
  <si>
    <t>게, 갈매기 떼</t>
  </si>
  <si>
    <t>[해변] 하얀 모래와 파도 소리가 이어지는 해변이다.</t>
  </si>
  <si>
    <t>낚시하기(회어·금린어) - 바닷가에서 낚시 중...</t>
  </si>
  <si>
    <t>설원, 산(서)</t>
  </si>
  <si>
    <t>전갈, 곰</t>
  </si>
  <si>
    <t>[협곡] 붉은 절벽 사이로 바람이 휘몰아치는 깊은 협곡이다.</t>
  </si>
  <si>
    <t>열매 따기(산딸기·나무 열매) - 열매 따는 중... / 광석 캐기(철광석·유물 조각) - 광석 캐는 중...</t>
  </si>
  <si>
    <t>절벽 틈 살펴보기: 절벽 틈에서 숨겨진 보물상자를 발견했다! 금화 22닢을 얻었다!</t>
  </si>
  <si>
    <t>협곡, 눈 마을</t>
  </si>
  <si>
    <t>설원 늑대, 곰</t>
  </si>
  <si>
    <t>[설원] 눈이 무릎까지 쌓인 하얀 벌판이다. 숨결이 하얗게 흩어진다.</t>
  </si>
  <si>
    <t>약초 채집(약초·독초) - 눈을 헤치며 약초 채집 중...</t>
  </si>
  <si>
    <t>설원, 산(동)</t>
  </si>
  <si>
    <t>설원 늑대</t>
  </si>
  <si>
    <t>상점(헬라), 대장간·훈련장(파로), 여관(이사야)</t>
  </si>
  <si>
    <t>제국의 수도 북쪽에 위치한 설산의 초입에 자리한 작은 마을.
마을 곳곳이 눈 속에 묻혀, 다음에도 이곳에 온다면 길을 찾을 수 있을지 의문이 든다.
어쩌면 파묻힌 채로 숨어 있기 때문에 이런 곳에 남을 수 있었던 것일지도.</t>
  </si>
  <si>
    <t>눈 덮인 헛간 살펴보기: 건초 더미 아래에서 숨겨진 보물상자를 발견했다! 금화 25닢을 얻었다!</t>
  </si>
  <si>
    <t>동굴 박쥐, 고블린</t>
  </si>
  <si>
    <t>[동굴] 차가운 바람이 흘러나오는 어두운 동굴이다. 안쪽에서 물 떨어지는 소리가 들린다.</t>
  </si>
  <si>
    <t>광석 캐기(철광석·유물 조각) - 광석 캐는 중... / 낚시하기(회어·금린어) - 지하 물웅덩이에서 낚시 중...</t>
  </si>
  <si>
    <t>동굴 안쪽 살펴보기: 바위 틈 안쪽에서 숨겨진 보물상자를 발견했다! 금화 20닢을 얻었다!</t>
  </si>
  <si>
    <t>고대 유적, 사막</t>
  </si>
  <si>
    <t>동굴 박쥐, 전갈</t>
  </si>
  <si>
    <t>[동굴] 모래가 흘러든 메마른 동굴이다. 벽면 곳곳이 반짝인다.</t>
  </si>
  <si>
    <t>광석 캐기(철광석·유물 조각) - 광석 캐는 중...</t>
  </si>
  <si>
    <t>사건</t>
  </si>
  <si>
    <t>동굴(남), 오아시스(숨겨진 길)</t>
  </si>
  <si>
    <t>해골 병사, 골렘</t>
  </si>
  <si>
    <t>[고대 유적] 이끼 낀 돌기둥이 늘어선 옛 유적이다. 알 수 없는 문양이 새겨져 있다.</t>
  </si>
  <si>
    <t>광석 캐기(철광석·유물 조각) - 유물 조각을 발굴 중... / 숨겨진 길 찾기 - 숨겨진 길을 찾는 중...</t>
  </si>
  <si>
    <t>일어나는 곳</t>
  </si>
  <si>
    <t>제단 뒤 살펴보기: 무너진 제단 뒤에서 고대의 보물상자를 발견했다! 금화 30닢을 얻었다!
숨겨진 길 찾기: 무너진 벽 너머로 모래에 덮인 좁은 길을 찾아냈다! 남서쪽 오아시스로 이어지는 듯하다.</t>
  </si>
  <si>
    <t>상황 묘사 (타자 효과)</t>
  </si>
  <si>
    <t>선택지</t>
  </si>
  <si>
    <t>초원, 동굴(남), 오아시스(일방통행으로 들어옴)</t>
  </si>
  <si>
    <t>전갈, 모래 도마뱀</t>
  </si>
  <si>
    <t>[사막] 끝없는 모래 언덕이 이어진다. 뜨거운 열기가 올라온다.</t>
  </si>
  <si>
    <t>사막 채집(선인장 열매·회전초) - 사막 채집 중...</t>
  </si>
  <si>
    <t>판정 스탯</t>
  </si>
  <si>
    <t>목표</t>
  </si>
  <si>
    <t>시간(초)</t>
  </si>
  <si>
    <t>진행 문구</t>
  </si>
  <si>
    <t>성공 문장</t>
  </si>
  <si>
    <t>실패 문장</t>
  </si>
  <si>
    <t>성공 보상</t>
  </si>
  <si>
    <t>해변(일방통행→), 사막(일방통행→), 고대 유적(숨겨진 길)</t>
  </si>
  <si>
    <t>악어, 모래 도마뱀</t>
  </si>
  <si>
    <t>[오아시스] 야자나무가 둘러싼 푸른 물웅덩이다. 지친 몸이 절로 풀린다.</t>
  </si>
  <si>
    <t>낚시하기(회어·금린어) - 물가에서 낚시 중... / 사막 채집(선인장 열매·회전초) - 사막 채집 중...</t>
  </si>
  <si>
    <t>물가 살펴보기: 물속에서 반짝이는 보물상자를 건져 올렸다! 금화 25닢을 얻었다!</t>
  </si>
  <si>
    <t>숲, 시작 마을, 로렌시아 제국(출입 금지)</t>
  </si>
  <si>
    <t>고블린</t>
  </si>
  <si>
    <t>경비원</t>
  </si>
  <si>
    <t>[관문] 제국으로 이어지는 돌 관문이다. 무장한 경비원이 길을 막고 서 있다.</t>
  </si>
  <si>
    <t>길 잃은 모험가</t>
  </si>
  <si>
    <t>어디서나</t>
  </si>
  <si>
    <t>출입 금지</t>
  </si>
  <si>
    <t>관문(출입 금지), 항구(갈 수 없음), 기차역(갈 수 없음)</t>
  </si>
  <si>
    <t>[길 잃은 모험가] 지도를 거꾸로 든 모험가가 두리번거리고 있다.</t>
  </si>
  <si>
    <t>(출입 금지 지역 - 지도에 흐리게 표시)</t>
  </si>
  <si>
    <t>길을 알려 준다</t>
  </si>
  <si>
    <t>로렌시아 제국(갈 수 없음)</t>
  </si>
  <si>
    <t>[길 잃은 모험가] 길을 알려 주는 중...</t>
  </si>
  <si>
    <t>모험가가 고마워하며 동전 몇 닢을 건넸다.
모험가가 감동해 섬의 비밀 이야기를 들려주었다.</t>
  </si>
  <si>
    <t>길을 잘못 알려 줘서 모험가가 반대쪽으로 사라졌다...</t>
  </si>
  <si>
    <t>금화 +2</t>
  </si>
  <si>
    <t>산(서)·산(동), 동굴(북)·동굴(남)은 게임에서는 모두 '산', '동굴'로 표시되며 이 표에서만 구분함. 로렌시아 제국·항구·기차역은 관문 너머 지역으로 현재 출입 금지.</t>
  </si>
  <si>
    <t>지도를 함께 살펴본다</t>
  </si>
  <si>
    <t>[길 잃은 모험가] 지도를 함께 살피는 중...</t>
  </si>
  <si>
    <t>지도에 표시되지 않은 지름길을 함께 찾아냈다! 모험가가 사례를 했다.</t>
  </si>
  <si>
    <t>둘 다 지도를 읽지 못해 한참 헤맸다.</t>
  </si>
  <si>
    <t>금화 +3</t>
  </si>
  <si>
    <t>모른 척 지나간다</t>
  </si>
  <si>
    <t>[길 잃은 모험가] 슬그머니 지나가는 중...</t>
  </si>
  <si>
    <t>들키지 않고 조용히 지나쳤다.</t>
  </si>
  <si>
    <t>모험가가 '저기요!' 하며 한참을 따라왔다.</t>
  </si>
  <si>
    <t>수상한 상인</t>
  </si>
  <si>
    <t>[수상한 상인] 나무 뒤에서 커다란 배낭을 멘 상인이 손짓한다.</t>
  </si>
  <si>
    <t>물건을 구경한다</t>
  </si>
  <si>
    <t>[수상한 상인] 물건을 구경하는 중...</t>
  </si>
  <si>
    <t>싸고 좋은 약초를 하나 골라냈다.</t>
  </si>
  <si>
    <t>바가지를 쓸 뻔해서 도망치듯 나왔다.</t>
  </si>
  <si>
    <t>약초 +1</t>
  </si>
  <si>
    <t>흥정을 한다</t>
  </si>
  <si>
    <t>[수상한 상인] 흥정하는 중...</t>
  </si>
  <si>
    <t>상인이 실수로 거스름돈을 더 줬다!</t>
  </si>
  <si>
    <t>상인의 말솜씨에 넘어가 아무것도 얻지 못했다.</t>
  </si>
  <si>
    <t>금화 +5</t>
  </si>
  <si>
    <t>무시한다</t>
  </si>
  <si>
    <t>[수상한 상인] 외면하는 중...</t>
  </si>
  <si>
    <t>상인이 아쉬운 듯 배낭을 다시 여몄다.</t>
  </si>
  <si>
    <t>상인이 끈질기게 따라오며 물건을 들이밀었다.</t>
  </si>
  <si>
    <t>반짝이는 상자</t>
  </si>
  <si>
    <t>[반짝이는 상자] 길가에 낡은 보물상자가 놓여 있다.</t>
  </si>
  <si>
    <t>열어 본다</t>
  </si>
  <si>
    <t>[반짝이는 상자] 상자를 여는 중...</t>
  </si>
  <si>
    <t>안에 금화가 들어 있었다!</t>
  </si>
  <si>
    <t>상자에서 먼지가 뿜어져 나와 콜록거렸다.</t>
  </si>
  <si>
    <t>금화 +4</t>
  </si>
  <si>
    <t>함정이 있는지 살핀다</t>
  </si>
  <si>
    <t>[반짝이는 상자] 상자를 살피는 중...</t>
  </si>
  <si>
    <t>바늘 함정을 피해 바닥의 금화를 꺼냈다.</t>
  </si>
  <si>
    <t>아무것도 찾지 못하고 시간만 흘렀다.</t>
  </si>
  <si>
    <t>그냥 둔다</t>
  </si>
  <si>
    <t>[반짝이는 상자] 지나치는 중...</t>
  </si>
  <si>
    <t>함정일지도 모르니 조용히 지나쳤다.</t>
  </si>
  <si>
    <t>미련이 남아 한참 뒤돌아보았다.</t>
  </si>
  <si>
    <t>숨겨진 함정</t>
  </si>
  <si>
    <t>[숨겨진 함정] 발밑에서 딸깍 소리가 났다. 함정이다!</t>
  </si>
  <si>
    <t>재빨리 몸을 날린다</t>
  </si>
  <si>
    <t>[숨겨진 함정] 몸을 날리는 중...</t>
  </si>
  <si>
    <t>아슬아슬하게 피했다! 화살이 바닥에 박혀 부르르 떨렸다.</t>
  </si>
  <si>
    <t>피하다 넘어져 함정에 걸렸다!
체력이 4 깎였다.</t>
  </si>
  <si>
    <t>장치를 해체한다</t>
  </si>
  <si>
    <t>[숨겨진 함정] 장치를 해체하는 중...</t>
  </si>
  <si>
    <t>장치를 멈추고 쓸 만한 부품까지 챙겼다.</t>
  </si>
  <si>
    <t>해체하다 함정이 작동해 버렸다!
체력이 5 깎였다.</t>
  </si>
  <si>
    <t>악물고 버틴다</t>
  </si>
  <si>
    <t>[숨겨진 함정] 버티는 중...</t>
  </si>
  <si>
    <t>단단한 몸으로 버티고 함정을 넘겼다.</t>
  </si>
  <si>
    <t>함정에 정통으로 맞았다!
체력이 6 깎였다.</t>
  </si>
  <si>
    <t>덫에 걸린 여우</t>
  </si>
  <si>
    <t>숲, 초원</t>
  </si>
  <si>
    <t>[덫에 걸린 여우] 나무 사이에서 덫에 다리가 걸린 여우가 낑낑대고 있다.</t>
  </si>
  <si>
    <t>덫을 풀어 준다</t>
  </si>
  <si>
    <t>[덫에 걸린 여우] 덫을 푸는 중...</t>
  </si>
  <si>
    <t>덫이 풀리자 여우가 산딸기 덤불로 안내하고 사라졌다.</t>
  </si>
  <si>
    <t>덫이 튀어 올라 손을 긁혔다. 여우는 겨우 빠져나갔다.
체력이 2 깎였다.</t>
  </si>
  <si>
    <t>산딸기 +1</t>
  </si>
  <si>
    <t>달래서 진정시킨다</t>
  </si>
  <si>
    <t>[덫에 걸린 여우] 여우를 달래는 중...</t>
  </si>
  <si>
    <t>여우가 얌전해졌고, 근처에서 누군가 흘린 동전을 발견했다.</t>
  </si>
  <si>
    <t>여우가 놀라 날뛰는 바람에 다가갈 수 없었다.</t>
  </si>
  <si>
    <t>덫을 놓은 사냥꾼을 찾는다</t>
  </si>
  <si>
    <t>[덫에 걸린 여우] 사냥꾼의 흔적을 쫓는 중...</t>
  </si>
  <si>
    <t>사냥꾼을 찾아 여우를 풀어 주게 했다. 사냥꾼이 미안하다며 사례를 했다.</t>
  </si>
  <si>
    <t>흔적을 놓쳐 버렸다.</t>
  </si>
  <si>
    <t>풀숲의 둥지</t>
  </si>
  <si>
    <t>초원, 숲</t>
  </si>
  <si>
    <t>[풀숲의 둥지] 키 큰 풀숲에 커다란 새 둥지가 보인다. 어미 새는 보이지 않는다.</t>
  </si>
  <si>
    <t>어미 새의 동태를 살핀다</t>
  </si>
  <si>
    <t>[풀숲의 둥지] 주변을 살피는 중...</t>
  </si>
  <si>
    <t>어미 새가 멀리 있는 걸 확인하고 둥지 옆 반짝이는 동전을 주웠다.</t>
  </si>
  <si>
    <t>아무것도 알아내지 못했다.</t>
  </si>
  <si>
    <t>살금살금 다가간다</t>
  </si>
  <si>
    <t>[풀숲의 둥지] 살금살금 다가가는 중...</t>
  </si>
  <si>
    <t>둥지에 섞여 있던 금화를 슬쩍 꺼냈다!</t>
  </si>
  <si>
    <t>어미 새가 돌아와 사정없이 쪼아 댔다!
체력이 3 깎였다.</t>
  </si>
  <si>
    <t>조용히 지나간다</t>
  </si>
  <si>
    <t>[풀숲의 둥지] 조용히 지나가는 중...</t>
  </si>
  <si>
    <t>둥지를 건드리지 않고 지나쳤다.</t>
  </si>
  <si>
    <t>발소리에 놀란 새들이 날아올라 정신이 없었다.</t>
  </si>
  <si>
    <t>물에 빠진 짐 꾸러미</t>
  </si>
  <si>
    <t>호수, 항구 마을</t>
  </si>
  <si>
    <t>[물에 빠진 짐 꾸러미] 물가에 누군가 떨어뜨린 짐 꾸러미가 둥둥 떠내려간다.</t>
  </si>
  <si>
    <t>헤엄쳐 건진다</t>
  </si>
  <si>
    <t>[물에 빠진 짐 꾸러미] 헤엄치는 중...</t>
  </si>
  <si>
    <t>꾸러미를 건져 냈다. 안에 금화가 들어 있었다!</t>
  </si>
  <si>
    <t>물살에 휩쓸려 허우적대다 겨우 나왔다.
체력이 2 깎였다.</t>
  </si>
  <si>
    <t>금화 +6</t>
  </si>
  <si>
    <t>긴 나뭇가지로 끌어당긴다</t>
  </si>
  <si>
    <t>[물에 빠진 짐 꾸러미] 나뭇가지로 끌어당기는 중...</t>
  </si>
  <si>
    <t>나뭇가지에 걸린 꾸러미를 끌어올렸다.</t>
  </si>
  <si>
    <t>나뭇가지가 툭 부러졌다.</t>
  </si>
  <si>
    <t>떠내려올 곳을 예측한다</t>
  </si>
  <si>
    <t>[물에 빠진 짐 꾸러미] 물살을 읽는 중...</t>
  </si>
  <si>
    <t>물살이 모이는 곳에서 기다렸다가 꾸러미를 주웠다.</t>
  </si>
  <si>
    <t>예측이 빗나가 꾸러미가 멀리 사라졌다.</t>
  </si>
  <si>
    <t>발밑이 꺼지는 늪</t>
  </si>
  <si>
    <t>[발밑이 꺼지는 늪] 한 발 내딛자 발이 늪 속으로 쑥 빠져들기 시작한다!</t>
  </si>
  <si>
    <t>힘으로 빠져나온다</t>
  </si>
  <si>
    <t>[발밑이 꺼지는 늪] 힘껏 다리를 빼는 중...</t>
  </si>
  <si>
    <t>온 힘을 다해 다리를 빼냈다.</t>
  </si>
  <si>
    <t>허우적댈수록 더 깊이 빠져 한참을 고생했다.
체력이 4 깎였다.</t>
  </si>
  <si>
    <t>침착하게 몸을 눕힌다</t>
  </si>
  <si>
    <t>[발밑이 꺼지는 늪] 몸을 눕혀 빠져나오는 중...</t>
  </si>
  <si>
    <t>당황하지 않고 몸을 넓게 펴서 빠져나왔다.</t>
  </si>
  <si>
    <t>겁에 질려 버둥대다 진흙을 잔뜩 먹었다.
체력이 4 깎였다.</t>
  </si>
  <si>
    <t>덩굴을 붙잡는다</t>
  </si>
  <si>
    <t>[발밑이 꺼지는 늪] 덩굴을 붙잡는 중...</t>
  </si>
  <si>
    <t>덩굴을 붙잡고 단단한 땅으로 올라섰다.</t>
  </si>
  <si>
    <t>덩굴이 끊어져 늪에 다시 빠졌다.
체력이 4 깎였다.</t>
  </si>
  <si>
    <t>도깨비불</t>
  </si>
  <si>
    <t>늪지, 고대 유적</t>
  </si>
  <si>
    <t>[도깨비불] 안개 속에서 파란 불빛이 이리 오라는 듯 흔들린다.</t>
  </si>
  <si>
    <t>불빛을 따라간다</t>
  </si>
  <si>
    <t>[도깨비불] 불빛을 쫓는 중...</t>
  </si>
  <si>
    <t>불빛이 멈춘 곳에 금화 꾸러미가 묻혀 있었다!</t>
  </si>
  <si>
    <t>불빛을 쫓다 진흙 구덩이에 빠졌다.
체력이 3 깎였다.</t>
  </si>
  <si>
    <t>금화 +10</t>
  </si>
  <si>
    <t>정체를 살핀다</t>
  </si>
  <si>
    <t>[도깨비불] 불빛의 정체를 살피는 중...</t>
  </si>
  <si>
    <t>썩은 독초에서 나는 빛이었다. 쓸 만한 독초를 챙겼다.</t>
  </si>
  <si>
    <t>정체를 알 수 없어 등골이 오싹했다.</t>
  </si>
  <si>
    <t>독초 +1</t>
  </si>
  <si>
    <t>눈을 감고 지나간다</t>
  </si>
  <si>
    <t>[도깨비불] 유혹을 뿌리치는 중...</t>
  </si>
  <si>
    <t>불빛의 유혹을 뿌리치고 길을 지켰다.</t>
  </si>
  <si>
    <t>불빛에 홀려 한참 엉뚱한 곳을 헤맸다.</t>
  </si>
  <si>
    <t>무너지는 천장</t>
  </si>
  <si>
    <t>동굴(북), 동굴(남), 고대 유적</t>
  </si>
  <si>
    <t>[무너지는 천장] 우르릉! 머리 위에서 돌가루가 떨어지기 시작한다.</t>
  </si>
  <si>
    <t>재빨리 빠져나간다</t>
  </si>
  <si>
    <t>[무너지는 천장] 출구로 달리는 중...</t>
  </si>
  <si>
    <t>돌이 쏟아지기 직전에 빠져나왔다!</t>
  </si>
  <si>
    <t>떨어지는 돌에 어깨를 맞았다!
체력이 5 깎였다.</t>
  </si>
  <si>
    <t>기둥을 받친다</t>
  </si>
  <si>
    <t>[무너지는 천장] 기둥을 받치는 중...</t>
  </si>
  <si>
    <t>무너지려는 기둥을 받쳐 길을 지켜 냈다.</t>
  </si>
  <si>
    <t>기둥과 함께 쓰러지고 말았다!
체력이 5 깎였다.</t>
  </si>
  <si>
    <t>안전한 틈을 찾는다</t>
  </si>
  <si>
    <t>[무너지는 천장] 균열을 살피는 중...</t>
  </si>
  <si>
    <t>균열이 없는 바위 틈에 몸을 숨겼다.</t>
  </si>
  <si>
    <t>숨은 곳에도 돌이 떨어졌다!
체력이 5 깎였다.</t>
  </si>
  <si>
    <t>고대 문양 석판</t>
  </si>
  <si>
    <t>고대 유적, 동굴(남)</t>
  </si>
  <si>
    <t>[고대 문양 석판] 길가에 알 수 없는 문양이 빼곡히 새겨진 석판이 서 있다.</t>
  </si>
  <si>
    <t>문양을 해독한다</t>
  </si>
  <si>
    <t>[고대 문양 석판] 문양을 해독하는 중...</t>
  </si>
  <si>
    <t>숨겨진 보물의 위치를 읽어 내 금화를 찾았다!</t>
  </si>
  <si>
    <t>머리만 지끈거렸다.</t>
  </si>
  <si>
    <t>금화 +12</t>
  </si>
  <si>
    <t>석판 조각을 떼어 낸다</t>
  </si>
  <si>
    <t>[고대 문양 석판] 석판을 다듬는 중...</t>
  </si>
  <si>
    <t>깨지지 않게 조각 하나를 떼어 냈다.</t>
  </si>
  <si>
    <t>석판이 엉뚱하게 갈라져 쓸모없어졌다.</t>
  </si>
  <si>
    <t>유물 조각 +1</t>
  </si>
  <si>
    <t>문양에 손을 얹는다</t>
  </si>
  <si>
    <t>[고대 문양 석판] 문양에 손을 얹는 중...</t>
  </si>
  <si>
    <t>석판이 빛나더니 금화가 쏟아졌다!</t>
  </si>
  <si>
    <t>찌릿한 기운이 온몸을 훑고 지나갔다.
체력이 3 깎였다.</t>
  </si>
  <si>
    <t>금화 +8</t>
  </si>
  <si>
    <t>눈사태 조짐</t>
  </si>
  <si>
    <t>산(서), 산(동), 설원, 눈 마을</t>
  </si>
  <si>
    <t>[눈사태 조짐] 산비탈에서 쩌억 하는 소리와 함께 눈 덩어리가 미끄러지기 시작한다!</t>
  </si>
  <si>
    <t>바위 뒤로 피한다</t>
  </si>
  <si>
    <t>[눈사태 조짐] 바위 뒤로 달리는 중...</t>
  </si>
  <si>
    <t>큰 바위 뒤로 몸을 날려 눈사태를 피했다.</t>
  </si>
  <si>
    <t>눈더미에 휩쓸렸다!
체력이 5 깎였다.</t>
  </si>
  <si>
    <t>소리로 방향을 읽는다</t>
  </si>
  <si>
    <t>[눈사태 조짐] 소리에 귀 기울이는 중...</t>
  </si>
  <si>
    <t>눈사태가 비껴가는 쪽을 알아차리고 피했다.</t>
  </si>
  <si>
    <t>방향을 잘못 읽었다!
체력이 5 깎였다.</t>
  </si>
  <si>
    <t>몸을 낮추고 버틴다</t>
  </si>
  <si>
    <t>[눈사태 조짐] 몸을 낮추고 버티는 중...</t>
  </si>
  <si>
    <t>몸을 낮게 웅크려 눈더미를 버텨 냈다.</t>
  </si>
  <si>
    <t>눈에 파묻혀 한참을 헤어나지 못했다.
체력이 5 깎였다.</t>
  </si>
  <si>
    <t>얼어붙은 여행자</t>
  </si>
  <si>
    <t>설원, 눈 마을, 산(동)</t>
  </si>
  <si>
    <t>[얼어붙은 여행자] 눈밭에 웅크린 여행자가 덜덜 떨고 있다.</t>
  </si>
  <si>
    <t>모닥불을 피워 준다</t>
  </si>
  <si>
    <t>[얼어붙은 여행자] 불을 피우는 중...</t>
  </si>
  <si>
    <t>불을 쬐고 기운을 차린 여행자가 감사의 표시로 금화를 건넸다.</t>
  </si>
  <si>
    <t>젖은 나무만 연기를 피웠다...</t>
  </si>
  <si>
    <t>업고 마을까지 간다</t>
  </si>
  <si>
    <t>[얼어붙은 여행자] 여행자를 업고 걷는 중...</t>
  </si>
  <si>
    <t>마을 사람들이 고마워하며 사례금을 모아 주었다.</t>
  </si>
  <si>
    <t>무게에 지쳐 함께 주저앉고 말았다.
체력이 2 깎였다.</t>
  </si>
  <si>
    <t>계속 말을 걸어 깨운다</t>
  </si>
  <si>
    <t>[얼어붙은 여행자] 말을 거는 중...</t>
  </si>
  <si>
    <t>여행자가 정신을 차리고 스스로 일어났다. 고맙다며 금화를 주었다.</t>
  </si>
  <si>
    <t>여행자가 다시 눈을 감아 버렸다. 결국 지나가던 썰매꾼이 데려갔다.</t>
  </si>
  <si>
    <t>모래 폭풍</t>
  </si>
  <si>
    <t>동굴(남), 사막, 오아시스</t>
  </si>
  <si>
    <t>[모래 폭풍] 지평선 너머에서 누런 모래 벽이 밀려온다!</t>
  </si>
  <si>
    <t>바위 틈에 숨는다</t>
  </si>
  <si>
    <t>[모래 폭풍] 숨을 곳을 찾는 중...</t>
  </si>
  <si>
    <t>바람을 등진 바위 틈을 찾아 폭풍을 피했다.</t>
  </si>
  <si>
    <t>숨을 곳을 못 찾아 모래를 뒤집어썼다.
체력이 4 깎였다.</t>
  </si>
  <si>
    <t>얼굴을 감싸고 버틴다</t>
  </si>
  <si>
    <t>[모래 폭풍] 얼굴을 감싸고 버티는 중...</t>
  </si>
  <si>
    <t>침착하게 숨을 고르며 폭풍이 지나가기를 기다렸다.</t>
  </si>
  <si>
    <t>숨이 막혀 쓰러질 뻔했다.
체력이 4 깎였다.</t>
  </si>
  <si>
    <t>폭풍 반대쪽으로 달린다</t>
  </si>
  <si>
    <t>[모래 폭풍] 전력으로 달리는 중...</t>
  </si>
  <si>
    <t>폭풍보다 빨리 달려 벗어났다!</t>
  </si>
  <si>
    <t>모래에 발이 빠져 폭풍에 휩쓸렸다.
체력이 4 깎였다.</t>
  </si>
  <si>
    <t>신기루</t>
  </si>
  <si>
    <t>사막, 오아시스</t>
  </si>
  <si>
    <t>[신기루] 저 멀리 반짝이는 호수와 야자나무가 보인다. 진짜일까?</t>
  </si>
  <si>
    <t>해를 보고 방향을 잡는다</t>
  </si>
  <si>
    <t>[신기루] 해의 위치를 재는 중...</t>
  </si>
  <si>
    <t>신기루에 속지 않고 바른 길을 지켰다.</t>
  </si>
  <si>
    <t>방향을 잃고 땡볕 아래를 헤맸다.
체력이 2 깎였다.</t>
  </si>
  <si>
    <t>지도를 믿는다</t>
  </si>
  <si>
    <t>[신기루] 지도를 확인하는 중...</t>
  </si>
  <si>
    <t>지도에 그런 호수는 없다. 신기루였다!</t>
  </si>
  <si>
    <t>지도를 잘못 읽어 한참 돌아갔다.
체력이 2 깎였다.</t>
  </si>
  <si>
    <t>신기루를 따라가 본다</t>
  </si>
  <si>
    <t>[신기루] 신기루를 쫓는 중...</t>
  </si>
  <si>
    <t>신기루 끝에서 길 잃은 대상(隊商)이 떨어뜨린 금화를 주웠다!</t>
  </si>
  <si>
    <t>아무것도 없었다. 목만 바싹 탔다.
체력이 3 깎였다.</t>
  </si>
  <si>
    <t>떠밀려 온 병 편지</t>
  </si>
  <si>
    <t>해변, 항구 마을, 오아시스</t>
  </si>
  <si>
    <t>[떠밀려 온 병 편지] 파도에 밀려온 유리병 안에 둘둘 말린 종이가 들어 있다.</t>
  </si>
  <si>
    <t>병을 조심히 연다</t>
  </si>
  <si>
    <t>[떠밀려 온 병 편지] 병마개를 여는 중...</t>
  </si>
  <si>
    <t>편지와 함께 동전 몇 닢이 들어 있었다.</t>
  </si>
  <si>
    <t>병이 깨져 편지가 젖어 버렸다.</t>
  </si>
  <si>
    <t>편지의 암호를 푼다</t>
  </si>
  <si>
    <t>[떠밀려 온 병 편지] 암호를 푸는 중...</t>
  </si>
  <si>
    <t>해변에 묻힌 보물의 위치였다! 금화를 찾아냈다.</t>
  </si>
  <si>
    <t>뜻을 알 수 없는 낙서였다.</t>
  </si>
  <si>
    <t>다른 병이 있는지 둘러본다</t>
  </si>
  <si>
    <t>[떠밀려 온 병 편지] 해변을 둘러보는 중...</t>
  </si>
  <si>
    <t>병은 없었지만 파도에 밀려온 금린어를 주웠다.</t>
  </si>
  <si>
    <t>파도에 발만 젖었다.</t>
  </si>
  <si>
    <t>금린어 +1</t>
  </si>
  <si>
    <t>성공·실패 문장이 여러 줄이면 그중 하나가 무작위로 나옴. 결과 앞에는 '🎲 눈 +보정 = 결과 (목표 N) → 성공!/실패...'가 붙음.</t>
  </si>
  <si>
    <t>사건 16종 · 선택지 48개. 지역 사건은 그 장소에서 출발하거나 그 장소로 가는 길에서만 일어나며, 어디서나 일어나는 사건보다 2배 잘 나옴.</t>
  </si>
  <si>
    <t>이동 중 사건이 일어나면 '규칙'의 전투 비율만큼 전투, 나머지는 이 목록에서 고름.</t>
  </si>
  <si>
    <t>순서</t>
  </si>
  <si>
    <t>제목</t>
  </si>
  <si>
    <t>받는 곳</t>
  </si>
  <si>
    <t>의뢰인</t>
  </si>
  <si>
    <t>보고하는 곳</t>
  </si>
  <si>
    <t>보상 금화</t>
  </si>
  <si>
    <t>보상 물건</t>
  </si>
  <si>
    <t>의뢰 대사 (타자 효과)</t>
  </si>
  <si>
    <t>목표를 못 채우고 보고할 때</t>
  </si>
  <si>
    <t>완료 대사 (타자 효과)</t>
  </si>
  <si>
    <t>모험을 시작하는 너에게</t>
  </si>
  <si>
    <t>여관 주인 알토</t>
  </si>
  <si>
    <t>상점에서 무기 1종 구매</t>
  </si>
  <si>
    <t>여관 주인, 알토 | 아, 그 소문을 듣고 왔다면... 이제 막 모험을 시작했겠구나. 물론 이 알토가 도와주어야겠지!
여관 주인, 알토 | 대신, 좀 있다 부탁 하나만 들어 주렴. 걱정 마, 어려운 일은 아닐 거란다.
알토가 자신의 턱에 손을 올리고, 당신의 모습을 이리저리 훑는다.
여관 주인, 알토 | 우선은 무기를 마련하는 게 좋겠어. 상점 '넛츠 프레젠트'로 가서, 네 마음에 드는 무기, 혹은 네 대신 싸워 줄 아이를 데리고 오렴.
여관 주인, 알토 | 잘 사서 돌아오면 보상을 줄 테니, 어서 가 보렴.</t>
  </si>
  <si>
    <t>여관 주인, 알토 | 으응? ...맨손으로 싸우겠다고?
여관 주인, 알토 | 호호, 안 되지. 아가, 무기를 가져오렴. 잘 싸우려면 무기가 꼭 필요할 거란다.
여관 주인, 알토 | 상점으로 가서, 네가 원하는 무기를 사오는 거야. 자, 어서.</t>
  </si>
  <si>
    <t>여관 주인, 알토 | 잘했어요! 이건 보상이란다, 무기 값에 보태도록 하렴.
여관 주인, 알토 | 그러면, 잠시 시간을 내 주겠니? 정식으로 맡기고 싶은 의뢰가 있단다.</t>
  </si>
  <si>
    <t>꾸러미 배달</t>
  </si>
  <si>
    <t>상인 포체에게 알토의 꾸러미 전달</t>
  </si>
  <si>
    <t>[여관 주인 알토] 그럼 이제 부탁 하나만 들어 줄래요? 서쪽 항구 마을의 상인 포체에게 이 꾸러미를 전해 줘야 하는데, 손님이 많아 여관을 비울 수가 없어서요. 초원에서 산을 넘어 호수를 지나는 초록색 길이 가장 안전하답니다. 늪지를 지나는 빨간 길은 빠르지만 위험해요.</t>
  </si>
  <si>
    <t>(배달은 목적지에 도착하면 바로 보고 가능)</t>
  </si>
  <si>
    <t>[상인 포체] 포체가 꾸러미를 받아 들고 환하게 웃는다. "알토가 보낸 거로군! 먼 길 수고했소. 이건 수고비요."</t>
  </si>
  <si>
    <t>몬스터 퇴치</t>
  </si>
  <si>
    <t>상인 포체</t>
  </si>
  <si>
    <t>몬스터 2마리 처치</t>
  </si>
  <si>
    <t>지금 쓰는 분류의 2단계 무기</t>
  </si>
  <si>
    <t>[상인 포체] 그런데 마침 일손이 필요하던 참이오. 요즘 이 근방에 몬스터가 들끓어서 배를 띄울 수가 없어 고민이오. 길에서 마주치는 몬스터를 2마리만 쓰러뜨려 주지 않겠소? 해내면 지금 쓰는 무기보다 한 단계 좋은 것을 하나 구해 주겠소. 위험한 길일수록 자주 만날 거요. 싸우다 위험하면 도망쳐도 좋소.</t>
  </si>
  <si>
    <t>[상인 포체] 아직 멀었소. 길을 오가다 보면 몬스터를 만날 거요. 위험한 길일수록 자주 나타난다오.</t>
  </si>
  <si>
    <t>[상인 포체] "덕분에 한시름 놓았소! 이제 항구에서 배가 뜰 수 있겠군. 약속대로 (지금 쓰는 분류의 2단계 무기)를 받으시오. 지금 쓰는 것보다 한결 수월할 거요."</t>
  </si>
  <si>
    <t>배에 실을 약초</t>
  </si>
  <si>
    <t>약초 4개 모으기</t>
  </si>
  <si>
    <t>낚싯대</t>
  </si>
  <si>
    <t>[상인 포체] 배에 실을 약상자가 텅 비었소. 늪지나 산에서 약초를 4개만 구해 주겠소? 약초 채집을 하면 독초가 섞여 나오기도 하니 잘 골라 오시오. 사례로 낚싯대를 하나 주겠소.</t>
  </si>
  <si>
    <t>[상인 포체] 약초는 늪지, 서쪽과 동쪽 산, 설원에서 '약초 채집'으로 얻을 수 있소. 손재주(재주)가 좋을수록 잘 딴다오.</t>
  </si>
  <si>
    <t>[상인 포체] "훌륭하오! 약속대로 낚싯대를 주지. 호수나 해변, 동굴의 물웅덩이에서 낚시를 해 보시오. 금린어를 낚으면 이 항구에서 비싸게 사 주겠소."</t>
  </si>
  <si>
    <t>눈 마을에 편지 전하기</t>
  </si>
  <si>
    <t>상인 헬라에게 포체의 편지 전달</t>
  </si>
  <si>
    <t>[상인 포체] 마지막으로 하나만 더 부탁하겠소. 북동쪽 눈 마을의 헬라에게 이 편지를 전해 주시오. 시작 마을 위 숲에서 동쪽 산을 넘거나, 서쪽 산에서 협곡과 설원을 지나 가는 길이 있소. 먼 길이니 대장장이 헤일리에게 장비를 맞추고 훈련장에서 몸을 단련한 뒤 떠나는 게 좋겠소.</t>
  </si>
  <si>
    <t>[상인 헬라] 헬라가 편지를 읽고 고개를 끄덕인다. "포체가 보냈군요. 먼 길 오느라 고생했어요. 자, 수고비예요."</t>
  </si>
  <si>
    <t>설원 늑대 퇴치</t>
  </si>
  <si>
    <t>상인 헬라</t>
  </si>
  <si>
    <t>설원 늑대 2마리 처치</t>
  </si>
  <si>
    <t>[상인 헬라] 마침 잘 오셨어요. 요즘 설원 늑대가 마을 곳간을 노려서 고민이에요. 두 마리만 쓰러뜨려 주세요. 그놈들은 하울링으로 동료를 부르니, 재주로 덫을 놓아 하울링을 막는 게 좋아요. 설원은 마을 북쪽이에요.</t>
  </si>
  <si>
    <t>[상인 헬라] 설원 늑대는 설원과 눈 마을 근처에서 나타나요. 하울링은 재주로 막을 수 있어요.</t>
  </si>
  <si>
    <t>[상인 헬라] "이제 마을이 조용해지겠네요! 정말 고마워요."</t>
  </si>
  <si>
    <t>해충 퇴치약</t>
  </si>
  <si>
    <t>독초 3개 모으기</t>
  </si>
  <si>
    <t>마법 주사위</t>
  </si>
  <si>
    <t>[상인 헬라] 한 가지만 더 부탁할게요. 겨울 동안 곳간에 벌레가 끼지 않게 퇴치약을 만들어야 해요. 독초를 3개만 구해 주세요. 이 마을은 독초를 비싸게 사 주니 남는 건 팔아도 좋아요.</t>
  </si>
  <si>
    <t>[상인 헬라] 독초는 '약초 채집'을 하다 보면 섞여 나와요. 설원이나 동쪽 산에서 찾아보세요.</t>
  </si>
  <si>
    <t>[상인 헬라] "이걸로 겨울을 날 수 있겠어요! 감사의 표시로 이 마법 주사위를 드릴게요. 이제 당신은 어엿한 모험가예요. 다만 관문 너머 로렌시아 제국은 아직 출입이 금지되어 있으니, 섬 안을 자유롭게 탐험해 보세요!"</t>
  </si>
  <si>
    <t>의뢰 대사 아래에는 '의뢰: 제목 / 목표 / 보상'이, 완료 대사 아래에는 '의뢰 완료 / 보상'이 붙음. 2번째 의뢰 보상 무기는 지금 쓰는 무기 분류에 맞춰 바뀜.</t>
  </si>
  <si>
    <t>등장</t>
  </si>
  <si>
    <t>공격력</t>
  </si>
  <si>
    <t>등급</t>
  </si>
  <si>
    <t>공격 단계</t>
  </si>
  <si>
    <t>공격 목표</t>
  </si>
  <si>
    <t>방어 단계</t>
  </si>
  <si>
    <t>방어 목표</t>
  </si>
  <si>
    <t>도망 추가(flee)</t>
  </si>
  <si>
    <t>도망 단계</t>
  </si>
  <si>
    <t>도망 목표</t>
  </si>
  <si>
    <t>공격 성공(+2)</t>
  </si>
  <si>
    <t>방어 성공(+2)</t>
  </si>
  <si>
    <t>도망 성공(+2)</t>
  </si>
  <si>
    <t>적 공격 1회 기대 피해(+2)</t>
  </si>
  <si>
    <t>고유 기믹</t>
  </si>
  <si>
    <t>기믹 효과</t>
  </si>
  <si>
    <t>대응 스탯</t>
  </si>
  <si>
    <t>대응 단계</t>
  </si>
  <si>
    <t>대응 목표</t>
  </si>
  <si>
    <t>대응 성공 문장</t>
  </si>
  <si>
    <t>대응 실패 문장</t>
  </si>
  <si>
    <t>출현 장소</t>
  </si>
  <si>
    <t>슬라임이 덤벼든다!</t>
  </si>
  <si>
    <t>시작 마을, 숲, 호수</t>
  </si>
  <si>
    <t>동굴 박쥐</t>
  </si>
  <si>
    <t>동굴 박쥐가 덤벼든다!</t>
  </si>
  <si>
    <t>동굴(북), 동굴(남)</t>
  </si>
  <si>
    <t>게가 덤벼든다!</t>
  </si>
  <si>
    <t>항구 마을, 해변</t>
  </si>
  <si>
    <t>갈매기 떼</t>
  </si>
  <si>
    <t>갈매기 떼가 덤벼든다!</t>
  </si>
  <si>
    <t>고블린이 덤벼든다!</t>
  </si>
  <si>
    <t>숲, 동굴(북), 관문</t>
  </si>
  <si>
    <t>멧돼지</t>
  </si>
  <si>
    <t>멧돼지가 덤벼든다!</t>
  </si>
  <si>
    <t>독사</t>
  </si>
  <si>
    <t>독사가 덤벼든다!</t>
  </si>
  <si>
    <t>전갈</t>
  </si>
  <si>
    <t>전갈이 덤벼든다!</t>
  </si>
  <si>
    <t>협곡, 동굴(남), 사막</t>
  </si>
  <si>
    <t>모래 도마뱀</t>
  </si>
  <si>
    <t>모래 도마뱀이 덤벼든다!</t>
  </si>
  <si>
    <t>늑대</t>
  </si>
  <si>
    <t>늑대가 덤벼든다!</t>
  </si>
  <si>
    <t>초원, 산(서), 산(동)</t>
  </si>
  <si>
    <t>악어</t>
  </si>
  <si>
    <t>악어가 덤벼든다!</t>
  </si>
  <si>
    <t>물속 매복</t>
  </si>
  <si>
    <t>물속에 숨어 내 공격이 더 잘 빗나간다 (공격 난이도 한 단계 위)</t>
  </si>
  <si>
    <t>미끼 덫으로 악어를 물 밖으로 끌어냈다!</t>
  </si>
  <si>
    <t>미끼를 놓쳤고 악어가 달려든다!</t>
  </si>
  <si>
    <t>늪지, 오아시스</t>
  </si>
  <si>
    <t>해골 병사</t>
  </si>
  <si>
    <t>해골 병사가 덤벼든다!</t>
  </si>
  <si>
    <t>저주 오라</t>
  </si>
  <si>
    <t>불길한 기운에 내 모든 판정이 -1 된다</t>
  </si>
  <si>
    <t>행운을 믿고 징크스를 깨뜨렸다!</t>
  </si>
  <si>
    <t>불운이 더 짙어진다...</t>
  </si>
  <si>
    <t>설원 늑대가 덤벼든다!</t>
  </si>
  <si>
    <t>종류</t>
  </si>
  <si>
    <t>행동</t>
  </si>
  <si>
    <t>얻는 재료</t>
  </si>
  <si>
    <t>필요 도구</t>
  </si>
  <si>
    <t>보물 금화</t>
  </si>
  <si>
    <t>성공 확률(+2)</t>
  </si>
  <si>
    <t>숨겨진 보물</t>
  </si>
  <si>
    <t>마을 구석 살펴보기</t>
  </si>
  <si>
    <t>하울링</t>
  </si>
  <si>
    <t>2라운드마다 동료가 달려들어 추가로 공격한다</t>
  </si>
  <si>
    <t>올가미 덫으로 무리의 길목을 막았다!</t>
  </si>
  <si>
    <t>덫이 허탕을 쳤고 울음이 더 커진다!</t>
  </si>
  <si>
    <t>설원, 눈 마을</t>
  </si>
  <si>
    <t>곰</t>
  </si>
  <si>
    <t>곰이 덤벼든다!</t>
  </si>
  <si>
    <t>채집</t>
  </si>
  <si>
    <t>열매 따기</t>
  </si>
  <si>
    <t>산딸기 65% / 나무 열매 35%</t>
  </si>
  <si>
    <t>버섯 따기</t>
  </si>
  <si>
    <t>버섯 65% / 독버섯 35%</t>
  </si>
  <si>
    <t>낚시하기</t>
  </si>
  <si>
    <t>회어 70% / 금린어 30%</t>
  </si>
  <si>
    <t>약초 채집</t>
  </si>
  <si>
    <t>약초 65% / 독초 35%</t>
  </si>
  <si>
    <t>광폭화</t>
  </si>
  <si>
    <t>3라운드마다 곰의 공격력이 +1씩 오른다 (최대 +3)</t>
  </si>
  <si>
    <t>정상 근처 살펴보기</t>
  </si>
  <si>
    <t>늪 속 살펴보기</t>
  </si>
  <si>
    <t>부두 창고 살펴보기</t>
  </si>
  <si>
    <t>먹이를 던져 곰을 진정시켰다!</t>
  </si>
  <si>
    <t>곰이 더 흥분해 덤벼든다!</t>
  </si>
  <si>
    <t>산(서), 산(동), 협곡, 설원</t>
  </si>
  <si>
    <t>골렘</t>
  </si>
  <si>
    <t>골렘이 덤벼든다!</t>
  </si>
  <si>
    <t>광석 캐기</t>
  </si>
  <si>
    <t>철광석 75% / 유물 조각 25%</t>
  </si>
  <si>
    <t>곡괭이</t>
  </si>
  <si>
    <t>절벽 틈 살펴보기</t>
  </si>
  <si>
    <t>눈 덮인 헛간 살펴보기</t>
  </si>
  <si>
    <t>돌 갑옷</t>
  </si>
  <si>
    <t>단단한 돌 갑옷 때문에 내 공격 피해가 2 줄어든다</t>
  </si>
  <si>
    <t>동굴 안쪽 살펴보기</t>
  </si>
  <si>
    <t>철광석 50% / 유물 조각 50%</t>
  </si>
  <si>
    <t>제단 뒤 살펴보기</t>
  </si>
  <si>
    <t>갑옷의 균열을 찾아냈다! 갑옷이 부서진다!</t>
  </si>
  <si>
    <t>균열을 찾지 못했다. 골렘이 반격한다!</t>
  </si>
  <si>
    <t>숨겨진 길</t>
  </si>
  <si>
    <t>숨겨진 길 찾기</t>
  </si>
  <si>
    <t>고대 유적↔오아시스 길이 열림</t>
  </si>
  <si>
    <t>공격 단계: 작고 빠르거나 단단하면 높음 / 방어 단계: 힘이 세거나 덮쳐 오면 높음. 도망 단계 = 2 + flee(없으면 등급), 최대 5.</t>
  </si>
  <si>
    <t>몬스터의 공격은 항상 명중하고, 방어에 실패하면 공격력만큼 전투 HP가 깎임. 성공 확률은 판정 보정 +2(스탯 6~8, 장비 없음) 기준.</t>
  </si>
  <si>
    <t>물속 매복(악어)은 기믹이 남아 있는 동안 공격 단계 +1, 저주 오라(해골 병사)는 내 모든 판정 -1.</t>
  </si>
  <si>
    <t>사막 채집</t>
  </si>
  <si>
    <t>선인장 열매 65% / 회전초 35%</t>
  </si>
  <si>
    <t>공통 전투 문장</t>
  </si>
  <si>
    <t>공격 명중</t>
  </si>
  <si>
    <t>[공격·{스탯}] 🎲 … : 명중! {피해} 피해를 줬다.</t>
  </si>
  <si>
    <t>공격 빗나감</t>
  </si>
  <si>
    <t>[공격·{스탯}] 🎲 … : 빗나갔다...</t>
  </si>
  <si>
    <t>방어 성공</t>
  </si>
  <si>
    <t>[방어] 🎲 … : {몬스터}의 공격을 막아냈다!</t>
  </si>
  <si>
    <t>방어 실패</t>
  </si>
  <si>
    <t>[방어] 🎲 … : 막지 못했다! {몬스터}에게 {피해} 피해를 입었다.</t>
  </si>
  <si>
    <t>기믹 대응 성공</t>
  </si>
  <si>
    <t>[{기믹} 대응] 🎲 … : 파훼 성공! {대응 성공 문장}</t>
  </si>
  <si>
    <t>기믹 대응 실패</t>
  </si>
  <si>
    <t>[{기믹} 대응] 🎲 … : 실패... {대응 실패 문장}</t>
  </si>
  <si>
    <t>하울링 추가 공격</t>
  </si>
  <si>
    <t>[하울링] 동료 늑대가 달려든다!</t>
  </si>
  <si>
    <t>도망 확인 팝업</t>
  </si>
  <si>
    <t>정말 도망치시겠습니까? / 도망 판정: {난이도} (민첩)</t>
  </si>
  <si>
    <t>도망 성공</t>
  </si>
  <si>
    <t>[도망] 🎲 … : 성공! → 전력으로 달려 무사히 도망쳤다!</t>
  </si>
  <si>
    <t>물가 살펴보기</t>
  </si>
  <si>
    <t>도망 실패</t>
  </si>
  <si>
    <t>[도망] 🎲 … : 실패! 길이 막혔다.</t>
  </si>
  <si>
    <t>승리</t>
  </si>
  <si>
    <t>{몬스터}를 쓰러뜨렸다! 승리! 금화 {N}닢을 얻었다.</t>
  </si>
  <si>
    <t>패배</t>
  </si>
  <si>
    <t>쓰러지고 말았다... 체력이 5 깎였다. 간신히 몸을 일으켰다.</t>
  </si>
  <si>
    <t>채집은 성공하면 표의 확률대로 재료 하나를 얻음(크리티컬이면 뒤쪽의 귀한 재료 확정). 목표보다 6 이상 높거나 크리티컬이면 2개. 숨겨진 보물은 한 번 찾으면 사라짐.</t>
  </si>
  <si>
    <t>같은 장소 도전을 60초 안에 3번 하면 10초 쿨타임.</t>
  </si>
  <si>
    <t>채집 종류: 낚시(회어·금린어), 채집A(약초·독초), 채집B(산딸기·나무 열매), 버섯 따기(버섯·독버섯), 사막 채집(선인장 열매·회전초), 광석(철광석·유물 조각).</t>
  </si>
  <si>
    <t>칸</t>
  </si>
  <si>
    <t>무기 분류</t>
  </si>
  <si>
    <t>공격 스탯</t>
  </si>
  <si>
    <t>스탯 합계</t>
  </si>
  <si>
    <t>얻는 곳</t>
  </si>
  <si>
    <t>제작 재료</t>
  </si>
  <si>
    <t>제작 금화</t>
  </si>
  <si>
    <t>나무 몽둥이</t>
  </si>
  <si>
    <t>무기</t>
  </si>
  <si>
    <t>근거리</t>
  </si>
  <si>
    <t>경석궁</t>
  </si>
  <si>
    <t>원거리</t>
  </si>
  <si>
    <t>나무 지팡이</t>
  </si>
  <si>
    <t>마법 도구</t>
  </si>
  <si>
    <t>사냥개</t>
  </si>
  <si>
    <t>사역마</t>
  </si>
  <si>
    <t>철검</t>
  </si>
  <si>
    <t>의뢰 보상 / 제작</t>
  </si>
  <si>
    <t>철광석 2</t>
  </si>
  <si>
    <t>사냥꾼의 활</t>
  </si>
  <si>
    <t>산딸기 3, 철광석 1</t>
  </si>
  <si>
    <t>수정 지팡이</t>
  </si>
  <si>
    <t>독초 2</t>
  </si>
  <si>
    <t>훈련된 매</t>
  </si>
  <si>
    <t>회어 3</t>
  </si>
  <si>
    <t>강철검</t>
  </si>
  <si>
    <t>철광석 5, 약초 2</t>
  </si>
  <si>
    <t>강철 장궁</t>
  </si>
  <si>
    <t>철광석 3, 회전초 2</t>
  </si>
  <si>
    <t>룬 지팡이</t>
  </si>
  <si>
    <t>유물 조각 2, 독초 2</t>
  </si>
  <si>
    <t>태엽 부엉이</t>
  </si>
  <si>
    <t>철광석 4, 금린어 2</t>
  </si>
  <si>
    <t>약초 망토</t>
  </si>
  <si>
    <t>방어구</t>
  </si>
  <si>
    <t>약초 3, 버섯 3</t>
  </si>
  <si>
    <t>철 갑옷</t>
  </si>
  <si>
    <t>철광석 6, 회어 3</t>
  </si>
  <si>
    <t>장비는 스탯을 올림(음수는 내림). 판정 보정은 장비 포함 스탯 ÷ 3이라 +3마다 판정 +1.</t>
  </si>
  <si>
    <t>무기 분류별 공격 스탯: 근거리 근력 / 원거리 민첩 / 마법 도구 지력 / 사역마 정신. 무기가 없으면 맨손(근거리).</t>
  </si>
  <si>
    <t>2단계 무기는 항구 상인의 몬스터 퇴치 의뢰 보상으로, 지금 쓰는 무기 분류에 맞춰 지급됨. 가방의 장비 칩을 누르면 바로 착용.</t>
  </si>
  <si>
    <t>구매</t>
  </si>
  <si>
    <t>물건</t>
  </si>
  <si>
    <t>시작 마을 (케르트)</t>
  </si>
  <si>
    <t>항구 마을 (포체)</t>
  </si>
  <si>
    <t>눈 마을 (헬라)</t>
  </si>
  <si>
    <t>근거리 무기 · 근력 +3</t>
  </si>
  <si>
    <t>원거리 무기 · 민첩 +3</t>
  </si>
  <si>
    <t>마법 도구 무기 · 지력 +3</t>
  </si>
  <si>
    <t>사역마 무기 · 정신 +3</t>
  </si>
  <si>
    <t>호수, 해변, 동굴, 오아시스에서 낚시할 때 필요</t>
  </si>
  <si>
    <t>철광석과 유물 조각을 캘 때 필요</t>
  </si>
  <si>
    <t>행운의 부적</t>
  </si>
  <si>
    <t>모든 판정에 +1</t>
  </si>
  <si>
    <t>주사위를 하나 더 굴려 높은 눈을 씀</t>
  </si>
  <si>
    <t>수정 주사위</t>
  </si>
  <si>
    <t>판매</t>
  </si>
  <si>
    <t>재료</t>
  </si>
  <si>
    <t>기본 가격</t>
  </si>
  <si>
    <t>시작 마을 배율</t>
  </si>
  <si>
    <t>항구 마을 배율</t>
  </si>
  <si>
    <t>눈 마을 배율</t>
  </si>
  <si>
    <t>시작 마을 판매가</t>
  </si>
  <si>
    <t>항구 마을 판매가</t>
  </si>
  <si>
    <t>눈 마을 판매가</t>
  </si>
  <si>
    <t>회어</t>
  </si>
  <si>
    <t>금린어</t>
  </si>
  <si>
    <t>약초</t>
  </si>
  <si>
    <t>독초</t>
  </si>
  <si>
    <t>산딸기</t>
  </si>
  <si>
    <t>나무 열매</t>
  </si>
  <si>
    <t>버섯</t>
  </si>
  <si>
    <t>독버섯</t>
  </si>
  <si>
    <t>선인장 열매</t>
  </si>
  <si>
    <t>회전초</t>
  </si>
  <si>
    <t>철광석</t>
  </si>
  <si>
    <t>유물 조각</t>
  </si>
  <si>
    <t>지력 판정 보정</t>
  </si>
  <si>
    <t>판매가 = 기본 가격 × 마을 배율 × (1 + 0.1 × (지력 판정 보정 - 2)), 반올림. 지력 6~8(보정 +2)이 기준.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</si>
</sst>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theme="1"/>
      <name val="Calibri"/>
      <scheme val="minor"/>
    </font>
    <font>
      <b/>
      <sz val="10.0"/>
      <color rgb="FFFFFFFF"/>
      <name val="Noto Sans"/>
    </font>
    <font>
      <sz val="11.0"/>
      <color theme="1"/>
      <name val="Calibri"/>
    </font>
    <font>
      <sz val="10.0"/>
      <color rgb="FF0000FF"/>
      <name val="Noto Sans"/>
    </font>
    <font>
      <sz val="10.0"/>
      <color theme="1"/>
      <name val="Noto Sans"/>
    </font>
    <font>
      <sz val="10.0"/>
      <color rgb="FF0B5394"/>
      <name val="Noto Sans"/>
    </font>
    <font>
      <sz val="10.0"/>
      <color rgb="FF0000FF"/>
      <name val="Arial"/>
    </font>
    <font>
      <sz val="10.0"/>
      <color rgb="FF0B5394"/>
      <name val="Arial"/>
    </font>
    <font>
      <sz val="10.0"/>
      <color theme="1"/>
      <name val="Arial"/>
    </font>
    <font>
      <b/>
      <sz val="18.0"/>
      <color rgb="FFFFFFFF"/>
      <name val="Noto Sans"/>
    </font>
    <font/>
    <font>
      <b/>
      <sz val="10.0"/>
      <color theme="1"/>
      <name val="Noto Sans"/>
    </font>
    <font>
      <b/>
      <sz val="10.0"/>
      <color theme="1"/>
      <name val="Arial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D62"/>
        <bgColor rgb="FF2F5D62"/>
      </patternFill>
    </fill>
    <fill>
      <patternFill patternType="solid">
        <fgColor rgb="FF7A4E2D"/>
        <bgColor rgb="FF7A4E2D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bottom"/>
    </xf>
    <xf borderId="1" fillId="4" fontId="5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shrinkToFit="0" vertical="center" wrapText="1"/>
    </xf>
    <xf borderId="1" fillId="4" fontId="7" numFmtId="0" xfId="0" applyAlignment="1" applyBorder="1" applyFill="1" applyFont="1">
      <alignment readingOrder="0"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1" fillId="0" fontId="8" numFmtId="0" xfId="0" applyAlignment="1" applyBorder="1" applyFont="1">
      <alignment shrinkToFit="0" vertical="center" wrapText="1"/>
    </xf>
    <xf borderId="1" fillId="0" fontId="8" numFmtId="9" xfId="0" applyAlignment="1" applyBorder="1" applyFont="1" applyNumberFormat="1">
      <alignment shrinkToFit="0" vertical="center" wrapText="1"/>
    </xf>
    <xf borderId="0" fillId="2" fontId="9" numFmtId="0" xfId="0" applyAlignment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2" fillId="0" fontId="6" numFmtId="0" xfId="0" applyAlignment="1" applyBorder="1" applyFont="1">
      <alignment shrinkToFit="0" vertical="center" wrapText="1"/>
    </xf>
    <xf borderId="1" fillId="5" fontId="6" numFmtId="0" xfId="0" applyAlignment="1" applyBorder="1" applyFill="1" applyFont="1">
      <alignment shrinkToFit="0" vertical="center" wrapText="1"/>
    </xf>
    <xf borderId="1" fillId="4" fontId="7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shrinkToFit="0" vertical="center" wrapText="1"/>
    </xf>
    <xf borderId="0" fillId="0" fontId="1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0" fillId="0" fontId="1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8" numFmtId="9" xfId="0" applyAlignment="1" applyFont="1" applyNumberForma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9" xfId="0" applyAlignment="1" applyBorder="1" applyFont="1" applyNumberFormat="1">
      <alignment shrinkToFit="0" vertical="center" wrapText="1"/>
    </xf>
    <xf borderId="1" fillId="0" fontId="8" numFmtId="9" xfId="0" applyAlignment="1" applyBorder="1" applyFont="1" applyNumberFormat="1">
      <alignment shrinkToFit="0" vertical="center" wrapText="1"/>
    </xf>
    <xf borderId="0" fillId="2" fontId="9" numFmtId="0" xfId="0" applyAlignment="1" applyFill="1" applyFont="1">
      <alignment horizontal="center" vertical="center"/>
    </xf>
    <xf borderId="1" fillId="2" fontId="1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8" numFmtId="164" xfId="0" applyAlignment="1" applyBorder="1" applyFont="1" applyNumberFormat="1">
      <alignment shrinkToFit="0" vertical="center" wrapText="1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6" numFmtId="164" xfId="0" applyAlignment="1" applyBorder="1" applyFont="1" applyNumberFormat="1">
      <alignment shrinkToFit="0" vertical="center" wrapText="1"/>
    </xf>
    <xf borderId="5" fillId="5" fontId="6" numFmtId="0" xfId="0" applyAlignment="1" applyBorder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규칙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규칙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5:E30" displayName="난이도" name="난이도" id="1">
  <tableColumns count="5">
    <tableColumn name="단계" id="1"/>
    <tableColumn name="이름" id="2"/>
    <tableColumn name="목표 달성치" id="3"/>
    <tableColumn name="시간 단계(초)" id="4"/>
    <tableColumn name="도전 시간(초)" id="5"/>
  </tableColumns>
  <tableStyleInfo name="규칙-style" showColumnStripes="0" showFirstColumn="1" showLastColumn="1" showRowStripes="1"/>
</table>
</file>

<file path=xl/tables/table2.xml><?xml version="1.0" encoding="utf-8"?>
<table xmlns="http://schemas.openxmlformats.org/spreadsheetml/2006/main" ref="A36:F39" displayName="위험도" name="위험도" id="2">
  <tableColumns count="6">
    <tableColumn name="코드" id="1"/>
    <tableColumn name="위험도" id="2"/>
    <tableColumn name="시간 단계" id="3"/>
    <tableColumn name="이동 시간(초)" id="4"/>
    <tableColumn name="사건 확률" id="5"/>
    <tableColumn name="전투 확률" id="6"/>
  </tableColumns>
  <tableStyleInfo name="규칙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24.0"/>
    <col customWidth="1" min="2" max="2" width="12.0"/>
    <col customWidth="1" min="3" max="3" width="90.0"/>
    <col customWidth="1" min="4" max="6" width="8.71"/>
  </cols>
  <sheetData>
    <row r="1">
      <c r="A1" s="1" t="s">
        <v>0</v>
      </c>
      <c r="B1" s="1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14</v>
      </c>
      <c r="B2" s="6">
        <f>COUNTA('장소'!A3:A23)</f>
        <v>21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36</v>
      </c>
      <c r="B3" s="6">
        <f>COUNTIF('장소'!B3:B23,"마을")</f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45</v>
      </c>
      <c r="B4" s="6">
        <f>COUNTA('길'!A2:A27)</f>
        <v>26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52</v>
      </c>
      <c r="B5" s="6">
        <f>COUNTA('전투'!A2:A16)</f>
        <v>15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55</v>
      </c>
      <c r="B6" s="6">
        <f>COUNTIF('전투'!Q2:Q16,"?*")</f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59</v>
      </c>
      <c r="B7" s="6">
        <f>COUNTA('인카운터'!C2:C49)</f>
        <v>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66</v>
      </c>
      <c r="B8" s="6">
        <f>COUNTA('장비'!A2:A15)</f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73</v>
      </c>
      <c r="B9" s="6">
        <f>COUNTA('의뢰'!A2:A8)</f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79</v>
      </c>
      <c r="B10" s="6">
        <f>SUM('의뢰'!G2:G8)</f>
        <v>152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82</v>
      </c>
      <c r="B11" s="6">
        <f>SUM('채집_보물'!J2:J31)</f>
        <v>185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1" t="s">
        <v>95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2" t="s">
        <v>100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2" t="s">
        <v>106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2" t="s">
        <v>108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2" t="s">
        <v>120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2" t="s">
        <v>124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2" t="s">
        <v>134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1" t="s">
        <v>142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2" t="s">
        <v>152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 t="s">
        <v>157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1" t="s">
        <v>168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2" t="s">
        <v>176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9.71"/>
    <col customWidth="1" min="2" max="2" width="16.0"/>
    <col customWidth="1" min="3" max="3" width="13.86"/>
    <col customWidth="1" min="4" max="4" width="13.71"/>
    <col customWidth="1" min="5" max="6" width="17.57"/>
    <col customWidth="1" min="7" max="9" width="15.14"/>
    <col customWidth="1" min="10" max="11" width="8.71"/>
  </cols>
  <sheetData>
    <row r="1" ht="33.75" customHeight="1">
      <c r="A1" s="13" t="s">
        <v>62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3" t="s">
        <v>0</v>
      </c>
      <c r="B2" s="3" t="s">
        <v>3</v>
      </c>
      <c r="C2" s="14" t="s">
        <v>71</v>
      </c>
      <c r="D2" s="15"/>
      <c r="E2" s="1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75</v>
      </c>
      <c r="B3" s="8" t="s">
        <v>77</v>
      </c>
      <c r="C3" s="17" t="s">
        <v>78</v>
      </c>
      <c r="D3" s="15"/>
      <c r="E3" s="1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81</v>
      </c>
      <c r="B4" s="18">
        <v>1.0</v>
      </c>
      <c r="C4" s="20" t="s">
        <v>85</v>
      </c>
      <c r="D4" s="15"/>
      <c r="E4" s="1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90</v>
      </c>
      <c r="B5" s="18">
        <v>20.0</v>
      </c>
      <c r="C5" s="20" t="s">
        <v>91</v>
      </c>
      <c r="D5" s="15"/>
      <c r="E5" s="1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96</v>
      </c>
      <c r="B6" s="5" t="s">
        <v>97</v>
      </c>
      <c r="C6" s="20" t="s">
        <v>98</v>
      </c>
      <c r="D6" s="15"/>
      <c r="E6" s="1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99</v>
      </c>
      <c r="B7" s="18">
        <v>6.0</v>
      </c>
      <c r="C7" s="20" t="s">
        <v>101</v>
      </c>
      <c r="D7" s="15"/>
      <c r="E7" s="1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104</v>
      </c>
      <c r="B8" s="18">
        <v>16.0</v>
      </c>
      <c r="C8" s="20" t="s">
        <v>105</v>
      </c>
      <c r="D8" s="15"/>
      <c r="E8" s="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107</v>
      </c>
      <c r="B9" s="18">
        <v>13.0</v>
      </c>
      <c r="C9" s="20" t="s">
        <v>109</v>
      </c>
      <c r="D9" s="15"/>
      <c r="E9" s="1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115</v>
      </c>
      <c r="B10" s="18">
        <v>15.0</v>
      </c>
      <c r="C10" s="20" t="s">
        <v>116</v>
      </c>
      <c r="D10" s="15"/>
      <c r="E10" s="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119</v>
      </c>
      <c r="B11" s="18">
        <v>2.0</v>
      </c>
      <c r="C11" s="20" t="s">
        <v>121</v>
      </c>
      <c r="D11" s="15"/>
      <c r="E11" s="1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126</v>
      </c>
      <c r="B12" s="18">
        <v>20.0</v>
      </c>
      <c r="C12" s="20" t="s">
        <v>129</v>
      </c>
      <c r="D12" s="15"/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133</v>
      </c>
      <c r="B13" s="18">
        <v>5.0</v>
      </c>
      <c r="C13" s="20"/>
      <c r="D13" s="15"/>
      <c r="E13" s="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137</v>
      </c>
      <c r="B14" s="18">
        <v>10.0</v>
      </c>
      <c r="C14" s="20" t="s">
        <v>138</v>
      </c>
      <c r="D14" s="15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146</v>
      </c>
      <c r="B15" s="18">
        <v>1.5</v>
      </c>
      <c r="C15" s="20" t="s">
        <v>147</v>
      </c>
      <c r="D15" s="15"/>
      <c r="E15" s="1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153</v>
      </c>
      <c r="B16" s="18">
        <v>0.6</v>
      </c>
      <c r="C16" s="20" t="s">
        <v>154</v>
      </c>
      <c r="D16" s="15"/>
      <c r="E16" s="1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159</v>
      </c>
      <c r="B17" s="18">
        <v>1.0</v>
      </c>
      <c r="C17" s="17" t="s">
        <v>162</v>
      </c>
      <c r="D17" s="15"/>
      <c r="E17" s="1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166</v>
      </c>
      <c r="B18" s="18">
        <v>1.0</v>
      </c>
      <c r="C18" s="17" t="s">
        <v>167</v>
      </c>
      <c r="D18" s="15"/>
      <c r="E18" s="1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172</v>
      </c>
      <c r="B19" s="18">
        <v>60.0</v>
      </c>
      <c r="C19" s="20" t="s">
        <v>174</v>
      </c>
      <c r="D19" s="15"/>
      <c r="E19" s="1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179</v>
      </c>
      <c r="B20" s="18">
        <v>3.0</v>
      </c>
      <c r="C20" s="20" t="s">
        <v>180</v>
      </c>
      <c r="D20" s="15"/>
      <c r="E20" s="1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183</v>
      </c>
      <c r="B21" s="18">
        <v>10.0</v>
      </c>
      <c r="C21" s="20" t="s">
        <v>184</v>
      </c>
      <c r="D21" s="15"/>
      <c r="E21" s="1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187</v>
      </c>
      <c r="B22" s="18">
        <v>28.0</v>
      </c>
      <c r="C22" s="20" t="s">
        <v>189</v>
      </c>
      <c r="D22" s="15"/>
      <c r="E22" s="1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3"/>
      <c r="B24" s="23"/>
      <c r="C24" s="23"/>
      <c r="D24" s="23"/>
      <c r="E24" s="23"/>
      <c r="F24" s="23"/>
      <c r="G24" s="25"/>
      <c r="H24" s="25"/>
      <c r="I24" s="25"/>
      <c r="J24" s="27"/>
      <c r="K24" s="2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9" t="s">
        <v>199</v>
      </c>
      <c r="B25" s="29" t="s">
        <v>200</v>
      </c>
      <c r="C25" s="29" t="s">
        <v>201</v>
      </c>
      <c r="D25" s="29" t="s">
        <v>202</v>
      </c>
      <c r="E25" s="29" t="s">
        <v>203</v>
      </c>
      <c r="F25" s="27"/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0">
        <v>1.0</v>
      </c>
      <c r="B26" s="30" t="s">
        <v>204</v>
      </c>
      <c r="C26" s="30">
        <v>6.0</v>
      </c>
      <c r="D26" s="30">
        <v>1.0</v>
      </c>
      <c r="E26" s="31">
        <f>D26*'규칙'!$B$18</f>
        <v>1</v>
      </c>
      <c r="F26" s="32"/>
      <c r="G26" s="3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0">
        <v>2.0</v>
      </c>
      <c r="B27" s="30" t="s">
        <v>206</v>
      </c>
      <c r="C27" s="30">
        <v>9.0</v>
      </c>
      <c r="D27" s="30">
        <v>2.0</v>
      </c>
      <c r="E27" s="31">
        <f>D27*'규칙'!$B$18</f>
        <v>2</v>
      </c>
      <c r="F27" s="32"/>
      <c r="G27" s="3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0">
        <v>3.0</v>
      </c>
      <c r="B28" s="30" t="s">
        <v>207</v>
      </c>
      <c r="C28" s="30">
        <v>12.0</v>
      </c>
      <c r="D28" s="30">
        <v>3.0</v>
      </c>
      <c r="E28" s="31">
        <f>D28*'규칙'!$B$18</f>
        <v>3</v>
      </c>
      <c r="F28" s="32"/>
      <c r="G28" s="3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0">
        <v>4.0</v>
      </c>
      <c r="B29" s="30" t="s">
        <v>208</v>
      </c>
      <c r="C29" s="30">
        <v>15.0</v>
      </c>
      <c r="D29" s="30">
        <v>4.0</v>
      </c>
      <c r="E29" s="31">
        <f>D29*'규칙'!$B$18</f>
        <v>4</v>
      </c>
      <c r="F29" s="32"/>
      <c r="G29" s="3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0">
        <v>5.0</v>
      </c>
      <c r="B30" s="30" t="s">
        <v>209</v>
      </c>
      <c r="C30" s="30">
        <v>18.0</v>
      </c>
      <c r="D30" s="30">
        <v>5.0</v>
      </c>
      <c r="E30" s="31">
        <f>D30*'규칙'!$B$18</f>
        <v>5</v>
      </c>
      <c r="F30" s="32"/>
      <c r="G30" s="3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2" t="s">
        <v>210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 t="s">
        <v>211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3"/>
      <c r="B35" s="23"/>
      <c r="C35" s="23"/>
      <c r="D35" s="23"/>
      <c r="E35" s="23"/>
      <c r="F35" s="2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9" t="s">
        <v>6</v>
      </c>
      <c r="B36" s="29" t="s">
        <v>9</v>
      </c>
      <c r="C36" s="29" t="s">
        <v>213</v>
      </c>
      <c r="D36" s="29" t="s">
        <v>10</v>
      </c>
      <c r="E36" s="29" t="s">
        <v>11</v>
      </c>
      <c r="F36" s="29" t="s">
        <v>12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3" t="s">
        <v>103</v>
      </c>
      <c r="B37" s="30" t="s">
        <v>216</v>
      </c>
      <c r="C37" s="30">
        <v>5.0</v>
      </c>
      <c r="D37" s="31">
        <f>E30</f>
        <v>5</v>
      </c>
      <c r="E37" s="34">
        <v>0.25</v>
      </c>
      <c r="F37" s="35">
        <f>E37*'규칙'!$B$16</f>
        <v>0.15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3" t="s">
        <v>50</v>
      </c>
      <c r="B38" s="30" t="s">
        <v>207</v>
      </c>
      <c r="C38" s="30">
        <v>3.0</v>
      </c>
      <c r="D38" s="31">
        <f>E28</f>
        <v>3</v>
      </c>
      <c r="E38" s="34">
        <v>0.4</v>
      </c>
      <c r="F38" s="35">
        <f>E38*'규칙'!$B$16</f>
        <v>0.24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3" t="s">
        <v>18</v>
      </c>
      <c r="B39" s="30" t="s">
        <v>219</v>
      </c>
      <c r="C39" s="30">
        <v>1.0</v>
      </c>
      <c r="D39" s="31">
        <f>E26</f>
        <v>1</v>
      </c>
      <c r="E39" s="34">
        <v>0.72</v>
      </c>
      <c r="F39" s="35">
        <f>E39*'규칙'!$B$16</f>
        <v>0.432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2" t="s">
        <v>221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75" customHeight="1">
      <c r="A43" s="13" t="s">
        <v>224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 t="s">
        <v>224</v>
      </c>
      <c r="B44" s="14" t="s">
        <v>225</v>
      </c>
      <c r="C44" s="15"/>
      <c r="D44" s="15"/>
      <c r="E44" s="15"/>
      <c r="F44" s="1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226</v>
      </c>
      <c r="B45" s="20" t="s">
        <v>227</v>
      </c>
      <c r="C45" s="15"/>
      <c r="D45" s="15"/>
      <c r="E45" s="15"/>
      <c r="F45" s="1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230</v>
      </c>
      <c r="B46" s="20" t="s">
        <v>231</v>
      </c>
      <c r="C46" s="15"/>
      <c r="D46" s="15"/>
      <c r="E46" s="15"/>
      <c r="F46" s="1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 t="s">
        <v>232</v>
      </c>
      <c r="B47" s="20" t="s">
        <v>233</v>
      </c>
      <c r="C47" s="15"/>
      <c r="D47" s="15"/>
      <c r="E47" s="15"/>
      <c r="F47" s="1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234</v>
      </c>
      <c r="B48" s="20" t="s">
        <v>235</v>
      </c>
      <c r="C48" s="15"/>
      <c r="D48" s="15"/>
      <c r="E48" s="15"/>
      <c r="F48" s="1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237</v>
      </c>
      <c r="B49" s="20" t="s">
        <v>239</v>
      </c>
      <c r="C49" s="15"/>
      <c r="D49" s="15"/>
      <c r="E49" s="15"/>
      <c r="F49" s="1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240</v>
      </c>
      <c r="B50" s="20" t="s">
        <v>241</v>
      </c>
      <c r="C50" s="15"/>
      <c r="D50" s="15"/>
      <c r="E50" s="15"/>
      <c r="F50" s="1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 t="s">
        <v>242</v>
      </c>
      <c r="B51" s="20" t="s">
        <v>243</v>
      </c>
      <c r="C51" s="15"/>
      <c r="D51" s="15"/>
      <c r="E51" s="15"/>
      <c r="F51" s="1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75" customHeight="1">
      <c r="A53" s="36" t="s">
        <v>244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" t="s">
        <v>245</v>
      </c>
      <c r="B54" s="1" t="s">
        <v>96</v>
      </c>
      <c r="C54" s="37" t="s">
        <v>246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8">
        <v>6.0</v>
      </c>
      <c r="B55" s="6">
        <f t="shared" ref="B55:B70" si="1">INT(A55/3)</f>
        <v>2</v>
      </c>
      <c r="C55" s="6">
        <f>IF(A55&lt;'규칙'!$B$10,A55*'규칙'!$B$11,"-")</f>
        <v>12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8">
        <v>7.0</v>
      </c>
      <c r="B56" s="6">
        <f t="shared" si="1"/>
        <v>2</v>
      </c>
      <c r="C56" s="6">
        <f>IF(A56&lt;'규칙'!$B$10,A56*'규칙'!$B$11,"-")</f>
        <v>14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8">
        <v>8.0</v>
      </c>
      <c r="B57" s="6">
        <f t="shared" si="1"/>
        <v>2</v>
      </c>
      <c r="C57" s="6">
        <f>IF(A57&lt;'규칙'!$B$10,A57*'규칙'!$B$11,"-")</f>
        <v>16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8">
        <v>9.0</v>
      </c>
      <c r="B58" s="6">
        <f t="shared" si="1"/>
        <v>3</v>
      </c>
      <c r="C58" s="6">
        <f>IF(A58&lt;'규칙'!$B$10,A58*'규칙'!$B$11,"-")</f>
        <v>18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8">
        <v>10.0</v>
      </c>
      <c r="B59" s="6">
        <f t="shared" si="1"/>
        <v>3</v>
      </c>
      <c r="C59" s="6">
        <f>IF(A59&lt;'규칙'!$B$10,A59*'규칙'!$B$11,"-")</f>
        <v>20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8">
        <v>11.0</v>
      </c>
      <c r="B60" s="6">
        <f t="shared" si="1"/>
        <v>3</v>
      </c>
      <c r="C60" s="6">
        <f>IF(A60&lt;'규칙'!$B$10,A60*'규칙'!$B$11,"-")</f>
        <v>22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8">
        <v>12.0</v>
      </c>
      <c r="B61" s="6">
        <f t="shared" si="1"/>
        <v>4</v>
      </c>
      <c r="C61" s="6">
        <f>IF(A61&lt;'규칙'!$B$10,A61*'규칙'!$B$11,"-")</f>
        <v>24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8">
        <v>13.0</v>
      </c>
      <c r="B62" s="6">
        <f t="shared" si="1"/>
        <v>4</v>
      </c>
      <c r="C62" s="6">
        <f>IF(A62&lt;'규칙'!$B$10,A62*'규칙'!$B$11,"-")</f>
        <v>26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8">
        <v>14.0</v>
      </c>
      <c r="B63" s="6">
        <f t="shared" si="1"/>
        <v>4</v>
      </c>
      <c r="C63" s="6">
        <f>IF(A63&lt;'규칙'!$B$10,A63*'규칙'!$B$11,"-")</f>
        <v>28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8">
        <v>15.0</v>
      </c>
      <c r="B64" s="6">
        <f t="shared" si="1"/>
        <v>5</v>
      </c>
      <c r="C64" s="6" t="str">
        <f>IF(A64&lt;'규칙'!$B$10,A64*'규칙'!$B$11,"-")</f>
        <v>-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8">
        <v>16.0</v>
      </c>
      <c r="B65" s="6">
        <f t="shared" si="1"/>
        <v>5</v>
      </c>
      <c r="C65" s="6" t="str">
        <f>IF(A65&lt;'규칙'!$B$10,A65*'규칙'!$B$11,"-")</f>
        <v>-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8">
        <v>17.0</v>
      </c>
      <c r="B66" s="6">
        <f t="shared" si="1"/>
        <v>5</v>
      </c>
      <c r="C66" s="6" t="str">
        <f>IF(A66&lt;'규칙'!$B$10,A66*'규칙'!$B$11,"-")</f>
        <v>-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8">
        <v>18.0</v>
      </c>
      <c r="B67" s="6">
        <f t="shared" si="1"/>
        <v>6</v>
      </c>
      <c r="C67" s="6" t="str">
        <f>IF(A67&lt;'규칙'!$B$10,A67*'규칙'!$B$11,"-")</f>
        <v>-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8">
        <v>19.0</v>
      </c>
      <c r="B68" s="6">
        <f t="shared" si="1"/>
        <v>6</v>
      </c>
      <c r="C68" s="6" t="str">
        <f>IF(A68&lt;'규칙'!$B$10,A68*'규칙'!$B$11,"-")</f>
        <v>-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8">
        <v>20.0</v>
      </c>
      <c r="B69" s="6">
        <f t="shared" si="1"/>
        <v>6</v>
      </c>
      <c r="C69" s="6" t="str">
        <f>IF(A69&lt;'규칙'!$B$10,A69*'규칙'!$B$11,"-")</f>
        <v>-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8">
        <v>21.0</v>
      </c>
      <c r="B70" s="6">
        <f t="shared" si="1"/>
        <v>7</v>
      </c>
      <c r="C70" s="6" t="str">
        <f>IF(A70&lt;'규칙'!$B$10,A70*'규칙'!$B$11,"-")</f>
        <v>-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2">
    <mergeCell ref="A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B49:F49"/>
    <mergeCell ref="B50:F50"/>
    <mergeCell ref="B51:F51"/>
    <mergeCell ref="A53:C53"/>
    <mergeCell ref="C22:E22"/>
    <mergeCell ref="A43:F43"/>
    <mergeCell ref="B44:F44"/>
    <mergeCell ref="B45:F45"/>
    <mergeCell ref="B46:F46"/>
    <mergeCell ref="B47:F47"/>
    <mergeCell ref="B48:F48"/>
  </mergeCells>
  <dataValidations>
    <dataValidation type="custom" allowBlank="1" showDropDown="1" sqref="E37:F39">
      <formula1/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2.0"/>
    <col customWidth="1" min="2" max="2" width="22.0"/>
    <col customWidth="1" min="3" max="3" width="80.0"/>
    <col customWidth="1" min="4" max="4" width="20.0"/>
    <col customWidth="1" min="5" max="6" width="8.71"/>
  </cols>
  <sheetData>
    <row r="1" ht="30.0" customHeight="1">
      <c r="A1" s="2" t="s">
        <v>2</v>
      </c>
      <c r="B1" s="2" t="s">
        <v>5</v>
      </c>
      <c r="C1" s="2" t="s">
        <v>7</v>
      </c>
      <c r="D1" s="2" t="s">
        <v>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15</v>
      </c>
      <c r="B2" s="7" t="s">
        <v>19</v>
      </c>
      <c r="C2" s="9" t="s">
        <v>20</v>
      </c>
      <c r="D2" s="7" t="s">
        <v>21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15</v>
      </c>
      <c r="B3" s="7" t="s">
        <v>22</v>
      </c>
      <c r="C3" s="9" t="s">
        <v>23</v>
      </c>
      <c r="D3" s="7" t="s">
        <v>24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25</v>
      </c>
      <c r="B4" s="10" t="s">
        <v>26</v>
      </c>
      <c r="C4" s="9" t="s">
        <v>27</v>
      </c>
      <c r="D4" s="7" t="s">
        <v>24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25</v>
      </c>
      <c r="B5" s="10" t="s">
        <v>28</v>
      </c>
      <c r="C5" s="9" t="s">
        <v>29</v>
      </c>
      <c r="D5" s="7" t="s">
        <v>24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25</v>
      </c>
      <c r="B6" s="10" t="s">
        <v>30</v>
      </c>
      <c r="C6" s="9" t="s">
        <v>31</v>
      </c>
      <c r="D6" s="7" t="s">
        <v>24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25</v>
      </c>
      <c r="B7" s="10" t="s">
        <v>32</v>
      </c>
      <c r="C7" s="9" t="s">
        <v>33</v>
      </c>
      <c r="D7" s="7" t="s">
        <v>24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25</v>
      </c>
      <c r="B8" s="10" t="s">
        <v>34</v>
      </c>
      <c r="C8" s="9" t="s">
        <v>35</v>
      </c>
      <c r="D8" s="7" t="s">
        <v>24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25</v>
      </c>
      <c r="B9" s="10" t="s">
        <v>37</v>
      </c>
      <c r="C9" s="9" t="s">
        <v>38</v>
      </c>
      <c r="D9" s="7" t="s">
        <v>24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25</v>
      </c>
      <c r="B10" s="10" t="s">
        <v>39</v>
      </c>
      <c r="C10" s="9" t="s">
        <v>40</v>
      </c>
      <c r="D10" s="7" t="s">
        <v>24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25</v>
      </c>
      <c r="B11" s="10" t="s">
        <v>41</v>
      </c>
      <c r="C11" s="9" t="s">
        <v>42</v>
      </c>
      <c r="D11" s="7" t="s">
        <v>24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25</v>
      </c>
      <c r="B12" s="10" t="s">
        <v>43</v>
      </c>
      <c r="C12" s="9" t="s">
        <v>44</v>
      </c>
      <c r="D12" s="7" t="s">
        <v>24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25</v>
      </c>
      <c r="B13" s="10" t="s">
        <v>46</v>
      </c>
      <c r="C13" s="9" t="s">
        <v>47</v>
      </c>
      <c r="D13" s="7" t="s">
        <v>24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48</v>
      </c>
      <c r="B14" s="10" t="s">
        <v>26</v>
      </c>
      <c r="C14" s="9" t="s">
        <v>51</v>
      </c>
      <c r="D14" s="7" t="s">
        <v>24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48</v>
      </c>
      <c r="B15" s="10" t="s">
        <v>28</v>
      </c>
      <c r="C15" s="9" t="s">
        <v>53</v>
      </c>
      <c r="D15" s="7" t="s">
        <v>24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48</v>
      </c>
      <c r="B16" s="10" t="s">
        <v>30</v>
      </c>
      <c r="C16" s="9" t="s">
        <v>54</v>
      </c>
      <c r="D16" s="7" t="s">
        <v>24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48</v>
      </c>
      <c r="B17" s="10" t="s">
        <v>32</v>
      </c>
      <c r="C17" s="9" t="s">
        <v>56</v>
      </c>
      <c r="D17" s="7" t="s">
        <v>24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48</v>
      </c>
      <c r="B18" s="10" t="s">
        <v>34</v>
      </c>
      <c r="C18" s="9" t="s">
        <v>57</v>
      </c>
      <c r="D18" s="7" t="s">
        <v>24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48</v>
      </c>
      <c r="B19" s="10" t="s">
        <v>37</v>
      </c>
      <c r="C19" s="9" t="s">
        <v>58</v>
      </c>
      <c r="D19" s="7" t="s">
        <v>24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48</v>
      </c>
      <c r="B20" s="10" t="s">
        <v>41</v>
      </c>
      <c r="C20" s="9" t="s">
        <v>60</v>
      </c>
      <c r="D20" s="7" t="s">
        <v>24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48</v>
      </c>
      <c r="B21" s="10" t="s">
        <v>39</v>
      </c>
      <c r="C21" s="9" t="s">
        <v>61</v>
      </c>
      <c r="D21" s="7" t="s">
        <v>24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48</v>
      </c>
      <c r="B22" s="10" t="s">
        <v>43</v>
      </c>
      <c r="C22" s="9" t="s">
        <v>63</v>
      </c>
      <c r="D22" s="7" t="s">
        <v>24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48</v>
      </c>
      <c r="B23" s="10" t="s">
        <v>46</v>
      </c>
      <c r="C23" s="9" t="s">
        <v>64</v>
      </c>
      <c r="D23" s="7" t="s">
        <v>24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65</v>
      </c>
      <c r="B24" s="10" t="s">
        <v>26</v>
      </c>
      <c r="C24" s="9" t="s">
        <v>67</v>
      </c>
      <c r="D24" s="7" t="s">
        <v>24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65</v>
      </c>
      <c r="B25" s="10" t="s">
        <v>28</v>
      </c>
      <c r="C25" s="9" t="s">
        <v>69</v>
      </c>
      <c r="D25" s="7" t="s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65</v>
      </c>
      <c r="B26" s="10" t="s">
        <v>30</v>
      </c>
      <c r="C26" s="9" t="s">
        <v>70</v>
      </c>
      <c r="D26" s="7" t="s">
        <v>24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65</v>
      </c>
      <c r="B27" s="10" t="s">
        <v>32</v>
      </c>
      <c r="C27" s="9" t="s">
        <v>72</v>
      </c>
      <c r="D27" s="7" t="s">
        <v>24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65</v>
      </c>
      <c r="B28" s="10" t="s">
        <v>34</v>
      </c>
      <c r="C28" s="9" t="s">
        <v>67</v>
      </c>
      <c r="D28" s="7" t="s">
        <v>24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65</v>
      </c>
      <c r="B29" s="10" t="s">
        <v>37</v>
      </c>
      <c r="C29" s="9" t="s">
        <v>74</v>
      </c>
      <c r="D29" s="7" t="s">
        <v>24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 t="s">
        <v>65</v>
      </c>
      <c r="B30" s="10" t="s">
        <v>41</v>
      </c>
      <c r="C30" s="9" t="s">
        <v>70</v>
      </c>
      <c r="D30" s="7" t="s">
        <v>24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65</v>
      </c>
      <c r="B31" s="10" t="s">
        <v>43</v>
      </c>
      <c r="C31" s="9" t="s">
        <v>72</v>
      </c>
      <c r="D31" s="7" t="s">
        <v>24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65</v>
      </c>
      <c r="B32" s="10" t="s">
        <v>46</v>
      </c>
      <c r="C32" s="9" t="s">
        <v>80</v>
      </c>
      <c r="D32" s="7" t="s">
        <v>24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83</v>
      </c>
      <c r="B33" s="7" t="s">
        <v>84</v>
      </c>
      <c r="C33" s="19" t="s">
        <v>86</v>
      </c>
      <c r="D33" s="7" t="s">
        <v>24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83</v>
      </c>
      <c r="B34" s="7" t="s">
        <v>88</v>
      </c>
      <c r="C34" s="19" t="s">
        <v>89</v>
      </c>
      <c r="D34" s="7" t="s">
        <v>24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 t="s">
        <v>92</v>
      </c>
      <c r="B35" s="10" t="s">
        <v>93</v>
      </c>
      <c r="C35" s="19" t="s">
        <v>94</v>
      </c>
      <c r="D35" s="7" t="s">
        <v>24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92</v>
      </c>
      <c r="B36" s="7" t="s">
        <v>110</v>
      </c>
      <c r="C36" s="19" t="s">
        <v>111</v>
      </c>
      <c r="D36" s="7" t="s">
        <v>21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 t="s">
        <v>112</v>
      </c>
      <c r="B37" s="7" t="s">
        <v>113</v>
      </c>
      <c r="C37" s="19" t="s">
        <v>114</v>
      </c>
      <c r="D37" s="7" t="s">
        <v>21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 t="s">
        <v>112</v>
      </c>
      <c r="B38" s="7" t="s">
        <v>117</v>
      </c>
      <c r="C38" s="19" t="s">
        <v>118</v>
      </c>
      <c r="D38" s="7" t="s">
        <v>21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 t="s">
        <v>112</v>
      </c>
      <c r="B39" s="7" t="s">
        <v>122</v>
      </c>
      <c r="C39" s="19" t="s">
        <v>123</v>
      </c>
      <c r="D39" s="7" t="s">
        <v>21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 t="s">
        <v>125</v>
      </c>
      <c r="B40" s="7" t="s">
        <v>127</v>
      </c>
      <c r="C40" s="19" t="s">
        <v>128</v>
      </c>
      <c r="D40" s="7" t="s">
        <v>21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 t="s">
        <v>130</v>
      </c>
      <c r="B41" s="7" t="s">
        <v>131</v>
      </c>
      <c r="C41" s="19" t="s">
        <v>132</v>
      </c>
      <c r="D41" s="7" t="s">
        <v>21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 t="s">
        <v>130</v>
      </c>
      <c r="B42" s="7" t="s">
        <v>135</v>
      </c>
      <c r="C42" s="19" t="s">
        <v>136</v>
      </c>
      <c r="D42" s="7" t="s">
        <v>21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 t="s">
        <v>139</v>
      </c>
      <c r="B43" s="7" t="s">
        <v>140</v>
      </c>
      <c r="C43" s="19" t="s">
        <v>141</v>
      </c>
      <c r="D43" s="7" t="s">
        <v>21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 t="s">
        <v>143</v>
      </c>
      <c r="B44" s="7" t="s">
        <v>144</v>
      </c>
      <c r="C44" s="19" t="s">
        <v>145</v>
      </c>
      <c r="D44" s="7" t="s">
        <v>21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 t="s">
        <v>148</v>
      </c>
      <c r="B45" s="7" t="s">
        <v>149</v>
      </c>
      <c r="C45" s="19" t="s">
        <v>150</v>
      </c>
      <c r="D45" s="7" t="s">
        <v>151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 t="s">
        <v>148</v>
      </c>
      <c r="B46" s="7" t="s">
        <v>155</v>
      </c>
      <c r="C46" s="19" t="s">
        <v>156</v>
      </c>
      <c r="D46" s="7" t="s">
        <v>21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 t="s">
        <v>148</v>
      </c>
      <c r="B47" s="7" t="s">
        <v>158</v>
      </c>
      <c r="C47" s="19" t="s">
        <v>160</v>
      </c>
      <c r="D47" s="7" t="s">
        <v>161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 t="s">
        <v>148</v>
      </c>
      <c r="B48" s="7" t="s">
        <v>164</v>
      </c>
      <c r="C48" s="19" t="s">
        <v>165</v>
      </c>
      <c r="D48" s="7" t="s">
        <v>161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 t="s">
        <v>169</v>
      </c>
      <c r="B49" s="7" t="s">
        <v>170</v>
      </c>
      <c r="C49" s="19" t="s">
        <v>171</v>
      </c>
      <c r="D49" s="7" t="s">
        <v>21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 t="s">
        <v>169</v>
      </c>
      <c r="B50" s="7" t="s">
        <v>173</v>
      </c>
      <c r="C50" s="19" t="s">
        <v>175</v>
      </c>
      <c r="D50" s="7" t="s">
        <v>21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 t="s">
        <v>169</v>
      </c>
      <c r="B51" s="7" t="s">
        <v>177</v>
      </c>
      <c r="C51" s="19" t="s">
        <v>178</v>
      </c>
      <c r="D51" s="7" t="s">
        <v>21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 t="s">
        <v>169</v>
      </c>
      <c r="B52" s="7" t="s">
        <v>181</v>
      </c>
      <c r="C52" s="19" t="s">
        <v>182</v>
      </c>
      <c r="D52" s="7" t="s">
        <v>21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 t="s">
        <v>169</v>
      </c>
      <c r="B53" s="7" t="s">
        <v>185</v>
      </c>
      <c r="C53" s="19" t="s">
        <v>186</v>
      </c>
      <c r="D53" s="7" t="s">
        <v>21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 t="s">
        <v>169</v>
      </c>
      <c r="B54" s="7" t="s">
        <v>188</v>
      </c>
      <c r="C54" s="19" t="s">
        <v>190</v>
      </c>
      <c r="D54" s="7" t="s">
        <v>21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 t="s">
        <v>191</v>
      </c>
      <c r="B55" s="7" t="s">
        <v>192</v>
      </c>
      <c r="C55" s="19" t="s">
        <v>193</v>
      </c>
      <c r="D55" s="7" t="s">
        <v>21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 t="s">
        <v>195</v>
      </c>
      <c r="B56" s="7" t="s">
        <v>196</v>
      </c>
      <c r="C56" s="19" t="s">
        <v>197</v>
      </c>
      <c r="D56" s="7" t="s">
        <v>21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24"/>
      <c r="C57" s="24"/>
      <c r="D57" s="2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6" t="s">
        <v>198</v>
      </c>
      <c r="B58" s="24"/>
      <c r="C58" s="24"/>
      <c r="D58" s="2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2" width="11.0"/>
    <col customWidth="1" min="3" max="3" width="7.0"/>
    <col customWidth="1" min="4" max="4" width="9.0"/>
    <col customWidth="1" min="5" max="5" width="12.0"/>
    <col customWidth="1" min="6" max="7" width="10.0"/>
    <col customWidth="1" min="8" max="8" width="40.0"/>
  </cols>
  <sheetData>
    <row r="1" ht="33.75" customHeight="1">
      <c r="A1" s="3" t="s">
        <v>1</v>
      </c>
      <c r="B1" s="3" t="s">
        <v>4</v>
      </c>
      <c r="C1" s="3" t="s">
        <v>6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16</v>
      </c>
      <c r="B2" s="5" t="s">
        <v>17</v>
      </c>
      <c r="C2" s="8" t="s">
        <v>18</v>
      </c>
      <c r="D2" s="11" t="str">
        <f t="array" ref="D2">INDEX('규칙'!$B$37:$B$39,MATCH(C2,'규칙'!$A$37:$A$39,0))</f>
        <v>위험</v>
      </c>
      <c r="E2" s="11">
        <f t="array" ref="E2">INDEX('규칙'!$D$37:$D$39,MATCH(C2,'규칙'!$A$37:$A$39,0))</f>
        <v>1</v>
      </c>
      <c r="F2" s="12">
        <f t="array" ref="F2">INDEX('규칙'!$E$37:$E$39,MATCH(C2,'규칙'!$A$37:$A$39,0))</f>
        <v>0.72</v>
      </c>
      <c r="G2" s="12">
        <f t="array" ref="G2">INDEX('규칙'!$F$37:$F$39,MATCH(C2,'규칙'!$A$37:$A$39,0))</f>
        <v>0.432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16</v>
      </c>
      <c r="B3" s="5" t="s">
        <v>49</v>
      </c>
      <c r="C3" s="8" t="s">
        <v>50</v>
      </c>
      <c r="D3" s="11" t="str">
        <f t="array" ref="D3">INDEX('규칙'!$B$37:$B$39,MATCH(C3,'규칙'!$A$37:$A$39,0))</f>
        <v>보통</v>
      </c>
      <c r="E3" s="11">
        <f t="array" ref="E3">INDEX('규칙'!$D$37:$D$39,MATCH(C3,'규칙'!$A$37:$A$39,0))</f>
        <v>3</v>
      </c>
      <c r="F3" s="12">
        <f t="array" ref="F3">INDEX('규칙'!$E$37:$E$39,MATCH(C3,'규칙'!$A$37:$A$39,0))</f>
        <v>0.4</v>
      </c>
      <c r="G3" s="12">
        <f t="array" ref="G3">INDEX('규칙'!$F$37:$F$39,MATCH(C3,'규칙'!$A$37:$A$39,0))</f>
        <v>0.24</v>
      </c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17</v>
      </c>
      <c r="B4" s="5" t="s">
        <v>48</v>
      </c>
      <c r="C4" s="8" t="s">
        <v>50</v>
      </c>
      <c r="D4" s="11" t="str">
        <f t="array" ref="D4">INDEX('규칙'!$B$37:$B$39,MATCH(C4,'규칙'!$A$37:$A$39,0))</f>
        <v>보통</v>
      </c>
      <c r="E4" s="11">
        <f t="array" ref="E4">INDEX('규칙'!$D$37:$D$39,MATCH(C4,'규칙'!$A$37:$A$39,0))</f>
        <v>3</v>
      </c>
      <c r="F4" s="12">
        <f t="array" ref="F4">INDEX('규칙'!$E$37:$E$39,MATCH(C4,'규칙'!$A$37:$A$39,0))</f>
        <v>0.4</v>
      </c>
      <c r="G4" s="12">
        <f t="array" ref="G4">INDEX('규칙'!$F$37:$F$39,MATCH(C4,'규칙'!$A$37:$A$39,0))</f>
        <v>0.24</v>
      </c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48</v>
      </c>
      <c r="B5" s="5" t="s">
        <v>68</v>
      </c>
      <c r="C5" s="8" t="s">
        <v>50</v>
      </c>
      <c r="D5" s="11" t="str">
        <f t="array" ref="D5">INDEX('규칙'!$B$37:$B$39,MATCH(C5,'규칙'!$A$37:$A$39,0))</f>
        <v>보통</v>
      </c>
      <c r="E5" s="11">
        <f t="array" ref="E5">INDEX('규칙'!$D$37:$D$39,MATCH(C5,'규칙'!$A$37:$A$39,0))</f>
        <v>3</v>
      </c>
      <c r="F5" s="12">
        <f t="array" ref="F5">INDEX('규칙'!$E$37:$E$39,MATCH(C5,'규칙'!$A$37:$A$39,0))</f>
        <v>0.4</v>
      </c>
      <c r="G5" s="12">
        <f t="array" ref="G5">INDEX('규칙'!$F$37:$F$39,MATCH(C5,'규칙'!$A$37:$A$39,0))</f>
        <v>0.24</v>
      </c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76</v>
      </c>
      <c r="B6" s="5" t="s">
        <v>68</v>
      </c>
      <c r="C6" s="8" t="s">
        <v>18</v>
      </c>
      <c r="D6" s="11" t="str">
        <f t="array" ref="D6">INDEX('규칙'!$B$37:$B$39,MATCH(C6,'규칙'!$A$37:$A$39,0))</f>
        <v>위험</v>
      </c>
      <c r="E6" s="11">
        <f t="array" ref="E6">INDEX('규칙'!$D$37:$D$39,MATCH(C6,'규칙'!$A$37:$A$39,0))</f>
        <v>1</v>
      </c>
      <c r="F6" s="12">
        <f t="array" ref="F6">INDEX('규칙'!$E$37:$E$39,MATCH(C6,'규칙'!$A$37:$A$39,0))</f>
        <v>0.72</v>
      </c>
      <c r="G6" s="12">
        <f t="array" ref="G6">INDEX('규칙'!$F$37:$F$39,MATCH(C6,'규칙'!$A$37:$A$39,0))</f>
        <v>0.432</v>
      </c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68</v>
      </c>
      <c r="B7" s="5" t="s">
        <v>87</v>
      </c>
      <c r="C7" s="8" t="s">
        <v>50</v>
      </c>
      <c r="D7" s="11" t="str">
        <f t="array" ref="D7">INDEX('규칙'!$B$37:$B$39,MATCH(C7,'규칙'!$A$37:$A$39,0))</f>
        <v>보통</v>
      </c>
      <c r="E7" s="11">
        <f t="array" ref="E7">INDEX('규칙'!$D$37:$D$39,MATCH(C7,'규칙'!$A$37:$A$39,0))</f>
        <v>3</v>
      </c>
      <c r="F7" s="12">
        <f t="array" ref="F7">INDEX('규칙'!$E$37:$E$39,MATCH(C7,'규칙'!$A$37:$A$39,0))</f>
        <v>0.4</v>
      </c>
      <c r="G7" s="12">
        <f t="array" ref="G7">INDEX('규칙'!$F$37:$F$39,MATCH(C7,'규칙'!$A$37:$A$39,0))</f>
        <v>0.24</v>
      </c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102</v>
      </c>
      <c r="B8" s="5" t="s">
        <v>49</v>
      </c>
      <c r="C8" s="8" t="s">
        <v>103</v>
      </c>
      <c r="D8" s="11" t="str">
        <f t="array" ref="D8">INDEX('규칙'!$B$37:$B$39,MATCH(C8,'규칙'!$A$37:$A$39,0))</f>
        <v>안전</v>
      </c>
      <c r="E8" s="11">
        <f t="array" ref="E8">INDEX('규칙'!$D$37:$D$39,MATCH(C8,'규칙'!$A$37:$A$39,0))</f>
        <v>5</v>
      </c>
      <c r="F8" s="12">
        <f t="array" ref="F8">INDEX('규칙'!$E$37:$E$39,MATCH(C8,'규칙'!$A$37:$A$39,0))</f>
        <v>0.25</v>
      </c>
      <c r="G8" s="12">
        <f t="array" ref="G8">INDEX('규칙'!$F$37:$F$39,MATCH(C8,'규칙'!$A$37:$A$39,0))</f>
        <v>0.15</v>
      </c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102</v>
      </c>
      <c r="B9" s="5" t="s">
        <v>65</v>
      </c>
      <c r="C9" s="8" t="s">
        <v>103</v>
      </c>
      <c r="D9" s="11" t="str">
        <f t="array" ref="D9">INDEX('규칙'!$B$37:$B$39,MATCH(C9,'규칙'!$A$37:$A$39,0))</f>
        <v>안전</v>
      </c>
      <c r="E9" s="11">
        <f t="array" ref="E9">INDEX('규칙'!$D$37:$D$39,MATCH(C9,'규칙'!$A$37:$A$39,0))</f>
        <v>5</v>
      </c>
      <c r="F9" s="12">
        <f t="array" ref="F9">INDEX('규칙'!$E$37:$E$39,MATCH(C9,'규칙'!$A$37:$A$39,0))</f>
        <v>0.25</v>
      </c>
      <c r="G9" s="12">
        <f t="array" ref="G9">INDEX('규칙'!$F$37:$F$39,MATCH(C9,'규칙'!$A$37:$A$39,0))</f>
        <v>0.15</v>
      </c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49</v>
      </c>
      <c r="B10" s="5" t="s">
        <v>163</v>
      </c>
      <c r="C10" s="8" t="s">
        <v>18</v>
      </c>
      <c r="D10" s="11" t="str">
        <f t="array" ref="D10">INDEX('규칙'!$B$37:$B$39,MATCH(C10,'규칙'!$A$37:$A$39,0))</f>
        <v>위험</v>
      </c>
      <c r="E10" s="11">
        <f t="array" ref="E10">INDEX('규칙'!$D$37:$D$39,MATCH(C10,'규칙'!$A$37:$A$39,0))</f>
        <v>1</v>
      </c>
      <c r="F10" s="12">
        <f t="array" ref="F10">INDEX('규칙'!$E$37:$E$39,MATCH(C10,'규칙'!$A$37:$A$39,0))</f>
        <v>0.72</v>
      </c>
      <c r="G10" s="12">
        <f t="array" ref="G10">INDEX('규칙'!$F$37:$F$39,MATCH(C10,'규칙'!$A$37:$A$39,0))</f>
        <v>0.432</v>
      </c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49</v>
      </c>
      <c r="B11" s="5" t="s">
        <v>194</v>
      </c>
      <c r="C11" s="8" t="s">
        <v>103</v>
      </c>
      <c r="D11" s="11" t="str">
        <f t="array" ref="D11">INDEX('규칙'!$B$37:$B$39,MATCH(C11,'규칙'!$A$37:$A$39,0))</f>
        <v>안전</v>
      </c>
      <c r="E11" s="11">
        <f t="array" ref="E11">INDEX('규칙'!$D$37:$D$39,MATCH(C11,'규칙'!$A$37:$A$39,0))</f>
        <v>5</v>
      </c>
      <c r="F11" s="12">
        <f t="array" ref="F11">INDEX('규칙'!$E$37:$E$39,MATCH(C11,'규칙'!$A$37:$A$39,0))</f>
        <v>0.25</v>
      </c>
      <c r="G11" s="12">
        <f t="array" ref="G11">INDEX('규칙'!$F$37:$F$39,MATCH(C11,'규칙'!$A$37:$A$39,0))</f>
        <v>0.15</v>
      </c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65</v>
      </c>
      <c r="B12" s="5" t="s">
        <v>163</v>
      </c>
      <c r="C12" s="8" t="s">
        <v>18</v>
      </c>
      <c r="D12" s="11" t="str">
        <f t="array" ref="D12">INDEX('규칙'!$B$37:$B$39,MATCH(C12,'규칙'!$A$37:$A$39,0))</f>
        <v>위험</v>
      </c>
      <c r="E12" s="11">
        <f t="array" ref="E12">INDEX('규칙'!$D$37:$D$39,MATCH(C12,'규칙'!$A$37:$A$39,0))</f>
        <v>1</v>
      </c>
      <c r="F12" s="12">
        <f t="array" ref="F12">INDEX('규칙'!$E$37:$E$39,MATCH(C12,'규칙'!$A$37:$A$39,0))</f>
        <v>0.72</v>
      </c>
      <c r="G12" s="12">
        <f t="array" ref="G12">INDEX('규칙'!$F$37:$F$39,MATCH(C12,'규칙'!$A$37:$A$39,0))</f>
        <v>0.432</v>
      </c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65</v>
      </c>
      <c r="B13" s="5" t="s">
        <v>205</v>
      </c>
      <c r="C13" s="8" t="s">
        <v>103</v>
      </c>
      <c r="D13" s="11" t="str">
        <f t="array" ref="D13">INDEX('규칙'!$B$37:$B$39,MATCH(C13,'규칙'!$A$37:$A$39,0))</f>
        <v>안전</v>
      </c>
      <c r="E13" s="11">
        <f t="array" ref="E13">INDEX('규칙'!$D$37:$D$39,MATCH(C13,'규칙'!$A$37:$A$39,0))</f>
        <v>5</v>
      </c>
      <c r="F13" s="12">
        <f t="array" ref="F13">INDEX('규칙'!$E$37:$E$39,MATCH(C13,'규칙'!$A$37:$A$39,0))</f>
        <v>0.25</v>
      </c>
      <c r="G13" s="12">
        <f t="array" ref="G13">INDEX('규칙'!$F$37:$F$39,MATCH(C13,'규칙'!$A$37:$A$39,0))</f>
        <v>0.15</v>
      </c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163</v>
      </c>
      <c r="B14" s="5" t="s">
        <v>194</v>
      </c>
      <c r="C14" s="8" t="s">
        <v>50</v>
      </c>
      <c r="D14" s="11" t="str">
        <f t="array" ref="D14">INDEX('규칙'!$B$37:$B$39,MATCH(C14,'규칙'!$A$37:$A$39,0))</f>
        <v>보통</v>
      </c>
      <c r="E14" s="11">
        <f t="array" ref="E14">INDEX('규칙'!$D$37:$D$39,MATCH(C14,'규칙'!$A$37:$A$39,0))</f>
        <v>3</v>
      </c>
      <c r="F14" s="12">
        <f t="array" ref="F14">INDEX('규칙'!$E$37:$E$39,MATCH(C14,'규칙'!$A$37:$A$39,0))</f>
        <v>0.4</v>
      </c>
      <c r="G14" s="12">
        <f t="array" ref="G14">INDEX('규칙'!$F$37:$F$39,MATCH(C14,'규칙'!$A$37:$A$39,0))</f>
        <v>0.24</v>
      </c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87</v>
      </c>
      <c r="B15" s="5" t="s">
        <v>25</v>
      </c>
      <c r="C15" s="8" t="s">
        <v>103</v>
      </c>
      <c r="D15" s="11" t="str">
        <f t="array" ref="D15">INDEX('규칙'!$B$37:$B$39,MATCH(C15,'규칙'!$A$37:$A$39,0))</f>
        <v>안전</v>
      </c>
      <c r="E15" s="11">
        <f t="array" ref="E15">INDEX('규칙'!$D$37:$D$39,MATCH(C15,'규칙'!$A$37:$A$39,0))</f>
        <v>5</v>
      </c>
      <c r="F15" s="12">
        <f t="array" ref="F15">INDEX('규칙'!$E$37:$E$39,MATCH(C15,'규칙'!$A$37:$A$39,0))</f>
        <v>0.25</v>
      </c>
      <c r="G15" s="12">
        <f t="array" ref="G15">INDEX('규칙'!$F$37:$F$39,MATCH(C15,'규칙'!$A$37:$A$39,0))</f>
        <v>0.15</v>
      </c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87</v>
      </c>
      <c r="B16" s="5" t="s">
        <v>92</v>
      </c>
      <c r="C16" s="8" t="s">
        <v>103</v>
      </c>
      <c r="D16" s="11" t="str">
        <f t="array" ref="D16">INDEX('규칙'!$B$37:$B$39,MATCH(C16,'규칙'!$A$37:$A$39,0))</f>
        <v>안전</v>
      </c>
      <c r="E16" s="11">
        <f t="array" ref="E16">INDEX('규칙'!$D$37:$D$39,MATCH(C16,'규칙'!$A$37:$A$39,0))</f>
        <v>5</v>
      </c>
      <c r="F16" s="12">
        <f t="array" ref="F16">INDEX('규칙'!$E$37:$E$39,MATCH(C16,'규칙'!$A$37:$A$39,0))</f>
        <v>0.25</v>
      </c>
      <c r="G16" s="12">
        <f t="array" ref="G16">INDEX('규칙'!$F$37:$F$39,MATCH(C16,'규칙'!$A$37:$A$39,0))</f>
        <v>0.15</v>
      </c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194</v>
      </c>
      <c r="B17" s="5" t="s">
        <v>25</v>
      </c>
      <c r="C17" s="8" t="s">
        <v>103</v>
      </c>
      <c r="D17" s="11" t="str">
        <f t="array" ref="D17">INDEX('규칙'!$B$37:$B$39,MATCH(C17,'규칙'!$A$37:$A$39,0))</f>
        <v>안전</v>
      </c>
      <c r="E17" s="11">
        <f t="array" ref="E17">INDEX('규칙'!$D$37:$D$39,MATCH(C17,'규칙'!$A$37:$A$39,0))</f>
        <v>5</v>
      </c>
      <c r="F17" s="12">
        <f t="array" ref="F17">INDEX('규칙'!$E$37:$E$39,MATCH(C17,'규칙'!$A$37:$A$39,0))</f>
        <v>0.25</v>
      </c>
      <c r="G17" s="12">
        <f t="array" ref="G17">INDEX('규칙'!$F$37:$F$39,MATCH(C17,'규칙'!$A$37:$A$39,0))</f>
        <v>0.15</v>
      </c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194</v>
      </c>
      <c r="B18" s="5" t="s">
        <v>212</v>
      </c>
      <c r="C18" s="8" t="s">
        <v>50</v>
      </c>
      <c r="D18" s="11" t="str">
        <f t="array" ref="D18">INDEX('규칙'!$B$37:$B$39,MATCH(C18,'규칙'!$A$37:$A$39,0))</f>
        <v>보통</v>
      </c>
      <c r="E18" s="11">
        <f t="array" ref="E18">INDEX('규칙'!$D$37:$D$39,MATCH(C18,'규칙'!$A$37:$A$39,0))</f>
        <v>3</v>
      </c>
      <c r="F18" s="12">
        <f t="array" ref="F18">INDEX('규칙'!$E$37:$E$39,MATCH(C18,'규칙'!$A$37:$A$39,0))</f>
        <v>0.4</v>
      </c>
      <c r="G18" s="12">
        <f t="array" ref="G18">INDEX('규칙'!$F$37:$F$39,MATCH(C18,'규칙'!$A$37:$A$39,0))</f>
        <v>0.24</v>
      </c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214</v>
      </c>
      <c r="B19" s="5" t="s">
        <v>215</v>
      </c>
      <c r="C19" s="8" t="s">
        <v>18</v>
      </c>
      <c r="D19" s="11" t="str">
        <f t="array" ref="D19">INDEX('규칙'!$B$37:$B$39,MATCH(C19,'규칙'!$A$37:$A$39,0))</f>
        <v>위험</v>
      </c>
      <c r="E19" s="11">
        <f t="array" ref="E19">INDEX('규칙'!$D$37:$D$39,MATCH(C19,'규칙'!$A$37:$A$39,0))</f>
        <v>1</v>
      </c>
      <c r="F19" s="12">
        <f t="array" ref="F19">INDEX('규칙'!$E$37:$E$39,MATCH(C19,'규칙'!$A$37:$A$39,0))</f>
        <v>0.72</v>
      </c>
      <c r="G19" s="12">
        <f t="array" ref="G19">INDEX('규칙'!$F$37:$F$39,MATCH(C19,'규칙'!$A$37:$A$39,0))</f>
        <v>0.432</v>
      </c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215</v>
      </c>
      <c r="B20" s="5" t="s">
        <v>212</v>
      </c>
      <c r="C20" s="8" t="s">
        <v>18</v>
      </c>
      <c r="D20" s="11" t="str">
        <f t="array" ref="D20">INDEX('규칙'!$B$37:$B$39,MATCH(C20,'규칙'!$A$37:$A$39,0))</f>
        <v>위험</v>
      </c>
      <c r="E20" s="11">
        <f t="array" ref="E20">INDEX('규칙'!$D$37:$D$39,MATCH(C20,'규칙'!$A$37:$A$39,0))</f>
        <v>1</v>
      </c>
      <c r="F20" s="12">
        <f t="array" ref="F20">INDEX('규칙'!$E$37:$E$39,MATCH(C20,'규칙'!$A$37:$A$39,0))</f>
        <v>0.72</v>
      </c>
      <c r="G20" s="12">
        <f t="array" ref="G20">INDEX('규칙'!$F$37:$F$39,MATCH(C20,'규칙'!$A$37:$A$39,0))</f>
        <v>0.432</v>
      </c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25</v>
      </c>
      <c r="B21" s="5" t="s">
        <v>92</v>
      </c>
      <c r="C21" s="8" t="s">
        <v>50</v>
      </c>
      <c r="D21" s="11" t="str">
        <f t="array" ref="D21">INDEX('규칙'!$B$37:$B$39,MATCH(C21,'규칙'!$A$37:$A$39,0))</f>
        <v>보통</v>
      </c>
      <c r="E21" s="11">
        <f t="array" ref="E21">INDEX('규칙'!$D$37:$D$39,MATCH(C21,'규칙'!$A$37:$A$39,0))</f>
        <v>3</v>
      </c>
      <c r="F21" s="12">
        <f t="array" ref="F21">INDEX('규칙'!$E$37:$E$39,MATCH(C21,'규칙'!$A$37:$A$39,0))</f>
        <v>0.4</v>
      </c>
      <c r="G21" s="12">
        <f t="array" ref="G21">INDEX('규칙'!$F$37:$F$39,MATCH(C21,'규칙'!$A$37:$A$39,0))</f>
        <v>0.24</v>
      </c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217</v>
      </c>
      <c r="B22" s="5" t="s">
        <v>205</v>
      </c>
      <c r="C22" s="8" t="s">
        <v>103</v>
      </c>
      <c r="D22" s="11" t="str">
        <f t="array" ref="D22">INDEX('규칙'!$B$37:$B$39,MATCH(C22,'규칙'!$A$37:$A$39,0))</f>
        <v>안전</v>
      </c>
      <c r="E22" s="11">
        <f t="array" ref="E22">INDEX('규칙'!$D$37:$D$39,MATCH(C22,'규칙'!$A$37:$A$39,0))</f>
        <v>5</v>
      </c>
      <c r="F22" s="12">
        <f t="array" ref="F22">INDEX('규칙'!$E$37:$E$39,MATCH(C22,'규칙'!$A$37:$A$39,0))</f>
        <v>0.25</v>
      </c>
      <c r="G22" s="12">
        <f t="array" ref="G22">INDEX('규칙'!$F$37:$F$39,MATCH(C22,'규칙'!$A$37:$A$39,0))</f>
        <v>0.15</v>
      </c>
      <c r="H22" s="5" t="s">
        <v>218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217</v>
      </c>
      <c r="B23" s="5" t="s">
        <v>212</v>
      </c>
      <c r="C23" s="8" t="s">
        <v>103</v>
      </c>
      <c r="D23" s="11" t="str">
        <f t="array" ref="D23">INDEX('규칙'!$B$37:$B$39,MATCH(C23,'규칙'!$A$37:$A$39,0))</f>
        <v>안전</v>
      </c>
      <c r="E23" s="11">
        <f t="array" ref="E23">INDEX('규칙'!$D$37:$D$39,MATCH(C23,'규칙'!$A$37:$A$39,0))</f>
        <v>5</v>
      </c>
      <c r="F23" s="12">
        <f t="array" ref="F23">INDEX('규칙'!$E$37:$E$39,MATCH(C23,'규칙'!$A$37:$A$39,0))</f>
        <v>0.25</v>
      </c>
      <c r="G23" s="12">
        <f t="array" ref="G23">INDEX('규칙'!$F$37:$F$39,MATCH(C23,'규칙'!$A$37:$A$39,0))</f>
        <v>0.15</v>
      </c>
      <c r="H23" s="5" t="s">
        <v>220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214</v>
      </c>
      <c r="B24" s="5" t="s">
        <v>217</v>
      </c>
      <c r="C24" s="8" t="s">
        <v>18</v>
      </c>
      <c r="D24" s="11" t="str">
        <f t="array" ref="D24">INDEX('규칙'!$B$37:$B$39,MATCH(C24,'규칙'!$A$37:$A$39,0))</f>
        <v>위험</v>
      </c>
      <c r="E24" s="11">
        <f t="array" ref="E24">INDEX('규칙'!$D$37:$D$39,MATCH(C24,'규칙'!$A$37:$A$39,0))</f>
        <v>1</v>
      </c>
      <c r="F24" s="12">
        <f t="array" ref="F24">INDEX('규칙'!$E$37:$E$39,MATCH(C24,'규칙'!$A$37:$A$39,0))</f>
        <v>0.72</v>
      </c>
      <c r="G24" s="12">
        <f t="array" ref="G24">INDEX('규칙'!$F$37:$F$39,MATCH(C24,'규칙'!$A$37:$A$39,0))</f>
        <v>0.432</v>
      </c>
      <c r="H24" s="5" t="s">
        <v>222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92</v>
      </c>
      <c r="B25" s="5" t="s">
        <v>223</v>
      </c>
      <c r="C25" s="8" t="s">
        <v>103</v>
      </c>
      <c r="D25" s="11" t="str">
        <f t="array" ref="D25">INDEX('규칙'!$B$37:$B$39,MATCH(C25,'규칙'!$A$37:$A$39,0))</f>
        <v>안전</v>
      </c>
      <c r="E25" s="11">
        <f t="array" ref="E25">INDEX('규칙'!$D$37:$D$39,MATCH(C25,'규칙'!$A$37:$A$39,0))</f>
        <v>5</v>
      </c>
      <c r="F25" s="12">
        <f t="array" ref="F25">INDEX('규칙'!$E$37:$E$39,MATCH(C25,'규칙'!$A$37:$A$39,0))</f>
        <v>0.25</v>
      </c>
      <c r="G25" s="12">
        <f t="array" ref="G25">INDEX('규칙'!$F$37:$F$39,MATCH(C25,'규칙'!$A$37:$A$39,0))</f>
        <v>0.15</v>
      </c>
      <c r="H25" s="5" t="s">
        <v>228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223</v>
      </c>
      <c r="B26" s="5" t="s">
        <v>229</v>
      </c>
      <c r="C26" s="8" t="s">
        <v>103</v>
      </c>
      <c r="D26" s="11" t="str">
        <f t="array" ref="D26">INDEX('규칙'!$B$37:$B$39,MATCH(C26,'규칙'!$A$37:$A$39,0))</f>
        <v>안전</v>
      </c>
      <c r="E26" s="11">
        <f t="array" ref="E26">INDEX('규칙'!$D$37:$D$39,MATCH(C26,'규칙'!$A$37:$A$39,0))</f>
        <v>5</v>
      </c>
      <c r="F26" s="12">
        <f t="array" ref="F26">INDEX('규칙'!$E$37:$E$39,MATCH(C26,'규칙'!$A$37:$A$39,0))</f>
        <v>0.25</v>
      </c>
      <c r="G26" s="12">
        <f t="array" ref="G26">INDEX('규칙'!$F$37:$F$39,MATCH(C26,'규칙'!$A$37:$A$39,0))</f>
        <v>0.15</v>
      </c>
      <c r="H26" s="5" t="s">
        <v>236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223</v>
      </c>
      <c r="B27" s="5" t="s">
        <v>238</v>
      </c>
      <c r="C27" s="8" t="s">
        <v>103</v>
      </c>
      <c r="D27" s="11" t="str">
        <f t="array" ref="D27">INDEX('규칙'!$B$37:$B$39,MATCH(C27,'규칙'!$A$37:$A$39,0))</f>
        <v>안전</v>
      </c>
      <c r="E27" s="11">
        <f t="array" ref="E27">INDEX('규칙'!$D$37:$D$39,MATCH(C27,'규칙'!$A$37:$A$39,0))</f>
        <v>5</v>
      </c>
      <c r="F27" s="12">
        <f t="array" ref="F27">INDEX('규칙'!$E$37:$E$39,MATCH(C27,'규칙'!$A$37:$A$39,0))</f>
        <v>0.25</v>
      </c>
      <c r="G27" s="12">
        <f t="array" ref="G27">INDEX('규칙'!$F$37:$F$39,MATCH(C27,'규칙'!$A$37:$A$39,0))</f>
        <v>0.15</v>
      </c>
      <c r="H27" s="5" t="s">
        <v>236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1.0"/>
    <col customWidth="1" min="2" max="2" width="7.0"/>
    <col customWidth="1" min="3" max="5" width="21.57"/>
    <col customWidth="1" min="6" max="8" width="26.86" outlineLevel="1"/>
  </cols>
  <sheetData>
    <row r="1" ht="33.75" customHeight="1">
      <c r="A1" s="13" t="s">
        <v>247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3.75" customHeight="1">
      <c r="A2" s="3" t="s">
        <v>247</v>
      </c>
      <c r="B2" s="3" t="s">
        <v>248</v>
      </c>
      <c r="C2" s="3" t="s">
        <v>249</v>
      </c>
      <c r="D2" s="3" t="s">
        <v>250</v>
      </c>
      <c r="E2" s="3" t="s">
        <v>251</v>
      </c>
      <c r="F2" s="2" t="s">
        <v>252</v>
      </c>
      <c r="G2" s="2" t="s">
        <v>253</v>
      </c>
      <c r="H2" s="2" t="s">
        <v>254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25</v>
      </c>
      <c r="B3" s="5" t="s">
        <v>83</v>
      </c>
      <c r="C3" s="5" t="s">
        <v>255</v>
      </c>
      <c r="D3" s="5" t="s">
        <v>256</v>
      </c>
      <c r="E3" s="8" t="s">
        <v>257</v>
      </c>
      <c r="F3" s="39" t="s">
        <v>258</v>
      </c>
      <c r="G3" s="24"/>
      <c r="H3" s="24" t="s">
        <v>259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87</v>
      </c>
      <c r="B4" s="5" t="s">
        <v>260</v>
      </c>
      <c r="C4" s="5" t="s">
        <v>261</v>
      </c>
      <c r="D4" s="5" t="s">
        <v>262</v>
      </c>
      <c r="E4" s="8" t="s">
        <v>263</v>
      </c>
      <c r="F4" s="40" t="s">
        <v>264</v>
      </c>
      <c r="G4" s="24" t="s">
        <v>265</v>
      </c>
      <c r="H4" s="2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194</v>
      </c>
      <c r="B5" s="5" t="s">
        <v>260</v>
      </c>
      <c r="C5" s="5" t="s">
        <v>266</v>
      </c>
      <c r="D5" s="5" t="s">
        <v>267</v>
      </c>
      <c r="E5" s="8" t="s">
        <v>263</v>
      </c>
      <c r="F5" s="40" t="s">
        <v>268</v>
      </c>
      <c r="G5" s="24" t="s">
        <v>269</v>
      </c>
      <c r="H5" s="2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102</v>
      </c>
      <c r="B6" s="5" t="s">
        <v>260</v>
      </c>
      <c r="C6" s="5" t="s">
        <v>270</v>
      </c>
      <c r="D6" s="5" t="s">
        <v>256</v>
      </c>
      <c r="E6" s="8" t="s">
        <v>263</v>
      </c>
      <c r="F6" s="40" t="s">
        <v>271</v>
      </c>
      <c r="G6" s="24" t="s">
        <v>272</v>
      </c>
      <c r="H6" s="2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49</v>
      </c>
      <c r="B7" s="5" t="s">
        <v>260</v>
      </c>
      <c r="C7" s="5" t="s">
        <v>273</v>
      </c>
      <c r="D7" s="5" t="s">
        <v>274</v>
      </c>
      <c r="E7" s="8" t="s">
        <v>263</v>
      </c>
      <c r="F7" s="40" t="s">
        <v>275</v>
      </c>
      <c r="G7" s="24" t="s">
        <v>276</v>
      </c>
      <c r="H7" s="24" t="s">
        <v>277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68</v>
      </c>
      <c r="B8" s="5" t="s">
        <v>260</v>
      </c>
      <c r="C8" s="5" t="s">
        <v>278</v>
      </c>
      <c r="D8" s="5" t="s">
        <v>274</v>
      </c>
      <c r="E8" s="8" t="s">
        <v>263</v>
      </c>
      <c r="F8" s="40" t="s">
        <v>279</v>
      </c>
      <c r="G8" s="24" t="s">
        <v>280</v>
      </c>
      <c r="H8" s="2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163</v>
      </c>
      <c r="B9" s="5" t="s">
        <v>260</v>
      </c>
      <c r="C9" s="5" t="s">
        <v>281</v>
      </c>
      <c r="D9" s="5" t="s">
        <v>282</v>
      </c>
      <c r="E9" s="8" t="s">
        <v>263</v>
      </c>
      <c r="F9" s="40" t="s">
        <v>283</v>
      </c>
      <c r="G9" s="24" t="s">
        <v>280</v>
      </c>
      <c r="H9" s="24" t="s">
        <v>284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65</v>
      </c>
      <c r="B10" s="5" t="s">
        <v>83</v>
      </c>
      <c r="C10" s="5" t="s">
        <v>285</v>
      </c>
      <c r="D10" s="5" t="s">
        <v>286</v>
      </c>
      <c r="E10" s="8" t="s">
        <v>287</v>
      </c>
      <c r="F10" s="40" t="s">
        <v>288</v>
      </c>
      <c r="G10" s="24"/>
      <c r="H10" s="24" t="s">
        <v>289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">
        <v>205</v>
      </c>
      <c r="B11" s="5" t="s">
        <v>260</v>
      </c>
      <c r="C11" s="5" t="s">
        <v>290</v>
      </c>
      <c r="D11" s="5" t="s">
        <v>291</v>
      </c>
      <c r="E11" s="8" t="s">
        <v>263</v>
      </c>
      <c r="F11" s="40" t="s">
        <v>292</v>
      </c>
      <c r="G11" s="24" t="s">
        <v>293</v>
      </c>
      <c r="H11" s="2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16</v>
      </c>
      <c r="B12" s="5" t="s">
        <v>260</v>
      </c>
      <c r="C12" s="5" t="s">
        <v>294</v>
      </c>
      <c r="D12" s="5" t="s">
        <v>295</v>
      </c>
      <c r="E12" s="8" t="s">
        <v>263</v>
      </c>
      <c r="F12" s="40" t="s">
        <v>296</v>
      </c>
      <c r="G12" s="24" t="s">
        <v>297</v>
      </c>
      <c r="H12" s="24" t="s">
        <v>298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17</v>
      </c>
      <c r="B13" s="5" t="s">
        <v>260</v>
      </c>
      <c r="C13" s="5" t="s">
        <v>299</v>
      </c>
      <c r="D13" s="5" t="s">
        <v>300</v>
      </c>
      <c r="E13" s="8" t="s">
        <v>263</v>
      </c>
      <c r="F13" s="40" t="s">
        <v>301</v>
      </c>
      <c r="G13" s="24" t="s">
        <v>302</v>
      </c>
      <c r="H13" s="2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48</v>
      </c>
      <c r="B14" s="5" t="s">
        <v>83</v>
      </c>
      <c r="C14" s="5" t="s">
        <v>303</v>
      </c>
      <c r="D14" s="5" t="s">
        <v>304</v>
      </c>
      <c r="E14" s="8" t="s">
        <v>305</v>
      </c>
      <c r="F14" s="39" t="s">
        <v>306</v>
      </c>
      <c r="G14" s="24"/>
      <c r="H14" s="24" t="s">
        <v>307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76</v>
      </c>
      <c r="B15" s="5" t="s">
        <v>260</v>
      </c>
      <c r="C15" s="5" t="s">
        <v>68</v>
      </c>
      <c r="D15" s="5" t="s">
        <v>308</v>
      </c>
      <c r="E15" s="8" t="s">
        <v>263</v>
      </c>
      <c r="F15" s="40" t="s">
        <v>309</v>
      </c>
      <c r="G15" s="24" t="s">
        <v>310</v>
      </c>
      <c r="H15" s="24" t="s">
        <v>311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215</v>
      </c>
      <c r="B16" s="5" t="s">
        <v>260</v>
      </c>
      <c r="C16" s="5" t="s">
        <v>312</v>
      </c>
      <c r="D16" s="5" t="s">
        <v>313</v>
      </c>
      <c r="E16" s="8" t="s">
        <v>263</v>
      </c>
      <c r="F16" s="40" t="s">
        <v>314</v>
      </c>
      <c r="G16" s="24" t="s">
        <v>315</v>
      </c>
      <c r="H16" s="2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214</v>
      </c>
      <c r="B17" s="5" t="s">
        <v>260</v>
      </c>
      <c r="C17" s="5" t="s">
        <v>317</v>
      </c>
      <c r="D17" s="5" t="s">
        <v>318</v>
      </c>
      <c r="E17" s="8" t="s">
        <v>263</v>
      </c>
      <c r="F17" s="40" t="s">
        <v>319</v>
      </c>
      <c r="G17" s="24" t="s">
        <v>320</v>
      </c>
      <c r="H17" s="24" t="s">
        <v>322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212</v>
      </c>
      <c r="B18" s="5" t="s">
        <v>260</v>
      </c>
      <c r="C18" s="5" t="s">
        <v>325</v>
      </c>
      <c r="D18" s="5" t="s">
        <v>326</v>
      </c>
      <c r="E18" s="8" t="s">
        <v>263</v>
      </c>
      <c r="F18" s="40" t="s">
        <v>327</v>
      </c>
      <c r="G18" s="24" t="s">
        <v>328</v>
      </c>
      <c r="H18" s="2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5" t="s">
        <v>217</v>
      </c>
      <c r="B19" s="5" t="s">
        <v>260</v>
      </c>
      <c r="C19" s="5" t="s">
        <v>336</v>
      </c>
      <c r="D19" s="5" t="s">
        <v>337</v>
      </c>
      <c r="E19" s="8" t="s">
        <v>263</v>
      </c>
      <c r="F19" s="40" t="s">
        <v>338</v>
      </c>
      <c r="G19" s="24" t="s">
        <v>339</v>
      </c>
      <c r="H19" s="24" t="s">
        <v>340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5" t="s">
        <v>92</v>
      </c>
      <c r="B20" s="5" t="s">
        <v>92</v>
      </c>
      <c r="C20" s="5" t="s">
        <v>341</v>
      </c>
      <c r="D20" s="5" t="s">
        <v>342</v>
      </c>
      <c r="E20" s="8" t="s">
        <v>343</v>
      </c>
      <c r="F20" s="40" t="s">
        <v>344</v>
      </c>
      <c r="G20" s="24"/>
      <c r="H20" s="2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5" t="s">
        <v>223</v>
      </c>
      <c r="B21" s="5" t="s">
        <v>347</v>
      </c>
      <c r="C21" s="5" t="s">
        <v>348</v>
      </c>
      <c r="D21" s="5" t="s">
        <v>263</v>
      </c>
      <c r="E21" s="8" t="s">
        <v>263</v>
      </c>
      <c r="F21" s="40" t="s">
        <v>350</v>
      </c>
      <c r="G21" s="24"/>
      <c r="H21" s="2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5" t="s">
        <v>229</v>
      </c>
      <c r="B22" s="5" t="s">
        <v>347</v>
      </c>
      <c r="C22" s="5" t="s">
        <v>352</v>
      </c>
      <c r="D22" s="5" t="s">
        <v>263</v>
      </c>
      <c r="E22" s="8" t="s">
        <v>263</v>
      </c>
      <c r="F22" s="40" t="s">
        <v>350</v>
      </c>
      <c r="G22" s="24"/>
      <c r="H22" s="2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5" t="s">
        <v>238</v>
      </c>
      <c r="B23" s="5" t="s">
        <v>347</v>
      </c>
      <c r="C23" s="5" t="s">
        <v>352</v>
      </c>
      <c r="D23" s="5" t="s">
        <v>263</v>
      </c>
      <c r="E23" s="8" t="s">
        <v>263</v>
      </c>
      <c r="F23" s="40" t="s">
        <v>350</v>
      </c>
      <c r="G23" s="24"/>
      <c r="H23" s="2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22" t="s">
        <v>357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4.0"/>
    <col customWidth="1" min="2" max="2" width="18.0"/>
    <col customWidth="1" min="3" max="3" width="44.0"/>
    <col customWidth="1" min="4" max="4" width="20.0"/>
    <col customWidth="1" min="5" max="5" width="9.0"/>
    <col customWidth="1" min="6" max="6" width="6.29"/>
    <col customWidth="1" min="7" max="7" width="6.0"/>
    <col customWidth="1" min="8" max="8" width="8.0"/>
    <col customWidth="1" min="9" max="9" width="30.0"/>
    <col customWidth="1" min="10" max="10" width="44.0"/>
    <col customWidth="1" min="11" max="11" width="40.0"/>
    <col customWidth="1" min="12" max="12" width="14.0"/>
  </cols>
  <sheetData>
    <row r="1" ht="30.0" customHeight="1">
      <c r="A1" s="2" t="s">
        <v>316</v>
      </c>
      <c r="B1" s="2" t="s">
        <v>321</v>
      </c>
      <c r="C1" s="2" t="s">
        <v>323</v>
      </c>
      <c r="D1" s="2" t="s">
        <v>324</v>
      </c>
      <c r="E1" s="3" t="s">
        <v>329</v>
      </c>
      <c r="F1" s="3" t="s">
        <v>199</v>
      </c>
      <c r="G1" s="3" t="s">
        <v>330</v>
      </c>
      <c r="H1" s="3" t="s">
        <v>331</v>
      </c>
      <c r="I1" s="2" t="s">
        <v>332</v>
      </c>
      <c r="J1" s="2" t="s">
        <v>333</v>
      </c>
      <c r="K1" s="2" t="s">
        <v>334</v>
      </c>
      <c r="L1" s="2" t="s">
        <v>335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4" t="s">
        <v>345</v>
      </c>
      <c r="B2" s="24" t="s">
        <v>346</v>
      </c>
      <c r="C2" s="40" t="s">
        <v>349</v>
      </c>
      <c r="D2" s="24" t="s">
        <v>351</v>
      </c>
      <c r="E2" s="5" t="s">
        <v>237</v>
      </c>
      <c r="F2" s="5">
        <v>2.0</v>
      </c>
      <c r="G2" s="11">
        <v>9.0</v>
      </c>
      <c r="H2" s="11">
        <v>2.0</v>
      </c>
      <c r="I2" s="40" t="s">
        <v>353</v>
      </c>
      <c r="J2" s="24" t="s">
        <v>354</v>
      </c>
      <c r="K2" s="24" t="s">
        <v>355</v>
      </c>
      <c r="L2" s="24" t="s">
        <v>356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4" t="s">
        <v>345</v>
      </c>
      <c r="B3" s="24" t="s">
        <v>346</v>
      </c>
      <c r="C3" s="40" t="s">
        <v>349</v>
      </c>
      <c r="D3" s="24" t="s">
        <v>358</v>
      </c>
      <c r="E3" s="5" t="s">
        <v>240</v>
      </c>
      <c r="F3" s="5">
        <v>2.0</v>
      </c>
      <c r="G3" s="11">
        <v>9.0</v>
      </c>
      <c r="H3" s="11">
        <v>2.0</v>
      </c>
      <c r="I3" s="40" t="s">
        <v>359</v>
      </c>
      <c r="J3" s="24" t="s">
        <v>360</v>
      </c>
      <c r="K3" s="24" t="s">
        <v>361</v>
      </c>
      <c r="L3" s="24" t="s">
        <v>362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4" t="s">
        <v>345</v>
      </c>
      <c r="B4" s="24" t="s">
        <v>346</v>
      </c>
      <c r="C4" s="40" t="s">
        <v>349</v>
      </c>
      <c r="D4" s="24" t="s">
        <v>363</v>
      </c>
      <c r="E4" s="5" t="s">
        <v>232</v>
      </c>
      <c r="F4" s="5">
        <v>1.0</v>
      </c>
      <c r="G4" s="11">
        <v>6.0</v>
      </c>
      <c r="H4" s="11">
        <v>1.0</v>
      </c>
      <c r="I4" s="40" t="s">
        <v>364</v>
      </c>
      <c r="J4" s="24" t="s">
        <v>365</v>
      </c>
      <c r="K4" s="24" t="s">
        <v>366</v>
      </c>
      <c r="L4" s="2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4" t="s">
        <v>367</v>
      </c>
      <c r="B5" s="24" t="s">
        <v>346</v>
      </c>
      <c r="C5" s="40" t="s">
        <v>368</v>
      </c>
      <c r="D5" s="24" t="s">
        <v>369</v>
      </c>
      <c r="E5" s="5" t="s">
        <v>237</v>
      </c>
      <c r="F5" s="5">
        <v>2.0</v>
      </c>
      <c r="G5" s="11">
        <v>9.0</v>
      </c>
      <c r="H5" s="11">
        <v>2.0</v>
      </c>
      <c r="I5" s="40" t="s">
        <v>370</v>
      </c>
      <c r="J5" s="24" t="s">
        <v>371</v>
      </c>
      <c r="K5" s="24" t="s">
        <v>372</v>
      </c>
      <c r="L5" s="24" t="s">
        <v>373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4" t="s">
        <v>367</v>
      </c>
      <c r="B6" s="24" t="s">
        <v>346</v>
      </c>
      <c r="C6" s="40" t="s">
        <v>368</v>
      </c>
      <c r="D6" s="24" t="s">
        <v>374</v>
      </c>
      <c r="E6" s="5" t="s">
        <v>242</v>
      </c>
      <c r="F6" s="5">
        <v>3.0</v>
      </c>
      <c r="G6" s="11">
        <v>12.0</v>
      </c>
      <c r="H6" s="11">
        <v>3.0</v>
      </c>
      <c r="I6" s="40" t="s">
        <v>375</v>
      </c>
      <c r="J6" s="24" t="s">
        <v>376</v>
      </c>
      <c r="K6" s="24" t="s">
        <v>377</v>
      </c>
      <c r="L6" s="24" t="s">
        <v>378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4" t="s">
        <v>367</v>
      </c>
      <c r="B7" s="24" t="s">
        <v>346</v>
      </c>
      <c r="C7" s="40" t="s">
        <v>368</v>
      </c>
      <c r="D7" s="24" t="s">
        <v>379</v>
      </c>
      <c r="E7" s="5" t="s">
        <v>230</v>
      </c>
      <c r="F7" s="5">
        <v>1.0</v>
      </c>
      <c r="G7" s="11">
        <v>6.0</v>
      </c>
      <c r="H7" s="11">
        <v>1.0</v>
      </c>
      <c r="I7" s="40" t="s">
        <v>380</v>
      </c>
      <c r="J7" s="24" t="s">
        <v>381</v>
      </c>
      <c r="K7" s="24" t="s">
        <v>382</v>
      </c>
      <c r="L7" s="2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4" t="s">
        <v>383</v>
      </c>
      <c r="B8" s="24" t="s">
        <v>346</v>
      </c>
      <c r="C8" s="40" t="s">
        <v>384</v>
      </c>
      <c r="D8" s="24" t="s">
        <v>385</v>
      </c>
      <c r="E8" s="5" t="s">
        <v>234</v>
      </c>
      <c r="F8" s="5">
        <v>3.0</v>
      </c>
      <c r="G8" s="11">
        <v>12.0</v>
      </c>
      <c r="H8" s="11">
        <v>3.0</v>
      </c>
      <c r="I8" s="40" t="s">
        <v>386</v>
      </c>
      <c r="J8" s="24" t="s">
        <v>387</v>
      </c>
      <c r="K8" s="24" t="s">
        <v>388</v>
      </c>
      <c r="L8" s="24" t="s">
        <v>389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4" t="s">
        <v>383</v>
      </c>
      <c r="B9" s="24" t="s">
        <v>346</v>
      </c>
      <c r="C9" s="40" t="s">
        <v>384</v>
      </c>
      <c r="D9" s="24" t="s">
        <v>390</v>
      </c>
      <c r="E9" s="5" t="s">
        <v>240</v>
      </c>
      <c r="F9" s="5">
        <v>3.0</v>
      </c>
      <c r="G9" s="11">
        <v>12.0</v>
      </c>
      <c r="H9" s="11">
        <v>3.0</v>
      </c>
      <c r="I9" s="40" t="s">
        <v>391</v>
      </c>
      <c r="J9" s="24" t="s">
        <v>392</v>
      </c>
      <c r="K9" s="24" t="s">
        <v>393</v>
      </c>
      <c r="L9" s="24" t="s">
        <v>362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4" t="s">
        <v>383</v>
      </c>
      <c r="B10" s="24" t="s">
        <v>346</v>
      </c>
      <c r="C10" s="40" t="s">
        <v>384</v>
      </c>
      <c r="D10" s="24" t="s">
        <v>394</v>
      </c>
      <c r="E10" s="5" t="s">
        <v>230</v>
      </c>
      <c r="F10" s="5">
        <v>1.0</v>
      </c>
      <c r="G10" s="11">
        <v>6.0</v>
      </c>
      <c r="H10" s="11">
        <v>1.0</v>
      </c>
      <c r="I10" s="40" t="s">
        <v>395</v>
      </c>
      <c r="J10" s="24" t="s">
        <v>396</v>
      </c>
      <c r="K10" s="24" t="s">
        <v>397</v>
      </c>
      <c r="L10" s="2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 t="s">
        <v>398</v>
      </c>
      <c r="B11" s="24" t="s">
        <v>346</v>
      </c>
      <c r="C11" s="40" t="s">
        <v>399</v>
      </c>
      <c r="D11" s="24" t="s">
        <v>400</v>
      </c>
      <c r="E11" s="5" t="s">
        <v>232</v>
      </c>
      <c r="F11" s="5">
        <v>3.0</v>
      </c>
      <c r="G11" s="11">
        <v>12.0</v>
      </c>
      <c r="H11" s="11">
        <v>3.0</v>
      </c>
      <c r="I11" s="40" t="s">
        <v>401</v>
      </c>
      <c r="J11" s="24" t="s">
        <v>402</v>
      </c>
      <c r="K11" s="24" t="s">
        <v>403</v>
      </c>
      <c r="L11" s="2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 t="s">
        <v>398</v>
      </c>
      <c r="B12" s="24" t="s">
        <v>346</v>
      </c>
      <c r="C12" s="40" t="s">
        <v>399</v>
      </c>
      <c r="D12" s="24" t="s">
        <v>404</v>
      </c>
      <c r="E12" s="5" t="s">
        <v>234</v>
      </c>
      <c r="F12" s="5">
        <v>3.0</v>
      </c>
      <c r="G12" s="11">
        <v>12.0</v>
      </c>
      <c r="H12" s="11">
        <v>3.0</v>
      </c>
      <c r="I12" s="40" t="s">
        <v>405</v>
      </c>
      <c r="J12" s="24" t="s">
        <v>406</v>
      </c>
      <c r="K12" s="24" t="s">
        <v>407</v>
      </c>
      <c r="L12" s="24" t="s">
        <v>356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 t="s">
        <v>398</v>
      </c>
      <c r="B13" s="24" t="s">
        <v>346</v>
      </c>
      <c r="C13" s="40" t="s">
        <v>399</v>
      </c>
      <c r="D13" s="24" t="s">
        <v>408</v>
      </c>
      <c r="E13" s="5" t="s">
        <v>226</v>
      </c>
      <c r="F13" s="5">
        <v>2.0</v>
      </c>
      <c r="G13" s="11">
        <v>9.0</v>
      </c>
      <c r="H13" s="11">
        <v>2.0</v>
      </c>
      <c r="I13" s="40" t="s">
        <v>409</v>
      </c>
      <c r="J13" s="24" t="s">
        <v>410</v>
      </c>
      <c r="K13" s="24" t="s">
        <v>411</v>
      </c>
      <c r="L13" s="2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 t="s">
        <v>412</v>
      </c>
      <c r="B14" s="24" t="s">
        <v>413</v>
      </c>
      <c r="C14" s="40" t="s">
        <v>414</v>
      </c>
      <c r="D14" s="24" t="s">
        <v>415</v>
      </c>
      <c r="E14" s="5" t="s">
        <v>234</v>
      </c>
      <c r="F14" s="5">
        <v>3.0</v>
      </c>
      <c r="G14" s="11">
        <v>12.0</v>
      </c>
      <c r="H14" s="11">
        <v>3.0</v>
      </c>
      <c r="I14" s="40" t="s">
        <v>416</v>
      </c>
      <c r="J14" s="24" t="s">
        <v>417</v>
      </c>
      <c r="K14" s="24" t="s">
        <v>418</v>
      </c>
      <c r="L14" s="24" t="s">
        <v>419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 t="s">
        <v>412</v>
      </c>
      <c r="B15" s="24" t="s">
        <v>413</v>
      </c>
      <c r="C15" s="40" t="s">
        <v>414</v>
      </c>
      <c r="D15" s="24" t="s">
        <v>420</v>
      </c>
      <c r="E15" s="5" t="s">
        <v>230</v>
      </c>
      <c r="F15" s="5">
        <v>2.0</v>
      </c>
      <c r="G15" s="11">
        <v>9.0</v>
      </c>
      <c r="H15" s="11">
        <v>2.0</v>
      </c>
      <c r="I15" s="40" t="s">
        <v>421</v>
      </c>
      <c r="J15" s="24" t="s">
        <v>422</v>
      </c>
      <c r="K15" s="24" t="s">
        <v>423</v>
      </c>
      <c r="L15" s="24" t="s">
        <v>356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 t="s">
        <v>412</v>
      </c>
      <c r="B16" s="24" t="s">
        <v>413</v>
      </c>
      <c r="C16" s="40" t="s">
        <v>414</v>
      </c>
      <c r="D16" s="24" t="s">
        <v>424</v>
      </c>
      <c r="E16" s="5" t="s">
        <v>240</v>
      </c>
      <c r="F16" s="5">
        <v>3.0</v>
      </c>
      <c r="G16" s="11">
        <v>12.0</v>
      </c>
      <c r="H16" s="11">
        <v>3.0</v>
      </c>
      <c r="I16" s="40" t="s">
        <v>425</v>
      </c>
      <c r="J16" s="24" t="s">
        <v>426</v>
      </c>
      <c r="K16" s="24" t="s">
        <v>427</v>
      </c>
      <c r="L16" s="24" t="s">
        <v>389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 t="s">
        <v>428</v>
      </c>
      <c r="B17" s="24" t="s">
        <v>429</v>
      </c>
      <c r="C17" s="40" t="s">
        <v>430</v>
      </c>
      <c r="D17" s="24" t="s">
        <v>431</v>
      </c>
      <c r="E17" s="5" t="s">
        <v>240</v>
      </c>
      <c r="F17" s="5">
        <v>2.0</v>
      </c>
      <c r="G17" s="11">
        <v>9.0</v>
      </c>
      <c r="H17" s="11">
        <v>2.0</v>
      </c>
      <c r="I17" s="40" t="s">
        <v>432</v>
      </c>
      <c r="J17" s="24" t="s">
        <v>433</v>
      </c>
      <c r="K17" s="24" t="s">
        <v>434</v>
      </c>
      <c r="L17" s="24" t="s">
        <v>356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 t="s">
        <v>428</v>
      </c>
      <c r="B18" s="24" t="s">
        <v>429</v>
      </c>
      <c r="C18" s="40" t="s">
        <v>430</v>
      </c>
      <c r="D18" s="24" t="s">
        <v>435</v>
      </c>
      <c r="E18" s="5" t="s">
        <v>232</v>
      </c>
      <c r="F18" s="5">
        <v>3.0</v>
      </c>
      <c r="G18" s="11">
        <v>12.0</v>
      </c>
      <c r="H18" s="11">
        <v>3.0</v>
      </c>
      <c r="I18" s="40" t="s">
        <v>436</v>
      </c>
      <c r="J18" s="24" t="s">
        <v>437</v>
      </c>
      <c r="K18" s="24" t="s">
        <v>438</v>
      </c>
      <c r="L18" s="24" t="s">
        <v>389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 t="s">
        <v>428</v>
      </c>
      <c r="B19" s="24" t="s">
        <v>429</v>
      </c>
      <c r="C19" s="40" t="s">
        <v>430</v>
      </c>
      <c r="D19" s="24" t="s">
        <v>439</v>
      </c>
      <c r="E19" s="5" t="s">
        <v>230</v>
      </c>
      <c r="F19" s="5">
        <v>1.0</v>
      </c>
      <c r="G19" s="11">
        <v>6.0</v>
      </c>
      <c r="H19" s="11">
        <v>1.0</v>
      </c>
      <c r="I19" s="40" t="s">
        <v>440</v>
      </c>
      <c r="J19" s="24" t="s">
        <v>441</v>
      </c>
      <c r="K19" s="24" t="s">
        <v>442</v>
      </c>
      <c r="L19" s="2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 t="s">
        <v>443</v>
      </c>
      <c r="B20" s="24" t="s">
        <v>444</v>
      </c>
      <c r="C20" s="40" t="s">
        <v>445</v>
      </c>
      <c r="D20" s="24" t="s">
        <v>446</v>
      </c>
      <c r="E20" s="5" t="s">
        <v>226</v>
      </c>
      <c r="F20" s="5">
        <v>3.0</v>
      </c>
      <c r="G20" s="11">
        <v>12.0</v>
      </c>
      <c r="H20" s="11">
        <v>3.0</v>
      </c>
      <c r="I20" s="40" t="s">
        <v>447</v>
      </c>
      <c r="J20" s="24" t="s">
        <v>448</v>
      </c>
      <c r="K20" s="24" t="s">
        <v>449</v>
      </c>
      <c r="L20" s="24" t="s">
        <v>450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4" t="s">
        <v>443</v>
      </c>
      <c r="B21" s="24" t="s">
        <v>444</v>
      </c>
      <c r="C21" s="40" t="s">
        <v>445</v>
      </c>
      <c r="D21" s="24" t="s">
        <v>451</v>
      </c>
      <c r="E21" s="5" t="s">
        <v>234</v>
      </c>
      <c r="F21" s="5">
        <v>3.0</v>
      </c>
      <c r="G21" s="11">
        <v>12.0</v>
      </c>
      <c r="H21" s="11">
        <v>3.0</v>
      </c>
      <c r="I21" s="40" t="s">
        <v>452</v>
      </c>
      <c r="J21" s="24" t="s">
        <v>453</v>
      </c>
      <c r="K21" s="24" t="s">
        <v>454</v>
      </c>
      <c r="L21" s="24" t="s">
        <v>389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4" t="s">
        <v>443</v>
      </c>
      <c r="B22" s="24" t="s">
        <v>444</v>
      </c>
      <c r="C22" s="40" t="s">
        <v>445</v>
      </c>
      <c r="D22" s="24" t="s">
        <v>455</v>
      </c>
      <c r="E22" s="5" t="s">
        <v>237</v>
      </c>
      <c r="F22" s="5">
        <v>3.0</v>
      </c>
      <c r="G22" s="11">
        <v>12.0</v>
      </c>
      <c r="H22" s="11">
        <v>3.0</v>
      </c>
      <c r="I22" s="40" t="s">
        <v>456</v>
      </c>
      <c r="J22" s="24" t="s">
        <v>457</v>
      </c>
      <c r="K22" s="24" t="s">
        <v>458</v>
      </c>
      <c r="L22" s="24" t="s">
        <v>389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4" t="s">
        <v>459</v>
      </c>
      <c r="B23" s="24" t="s">
        <v>163</v>
      </c>
      <c r="C23" s="40" t="s">
        <v>460</v>
      </c>
      <c r="D23" s="24" t="s">
        <v>461</v>
      </c>
      <c r="E23" s="5" t="s">
        <v>226</v>
      </c>
      <c r="F23" s="5">
        <v>3.0</v>
      </c>
      <c r="G23" s="11">
        <v>12.0</v>
      </c>
      <c r="H23" s="11">
        <v>3.0</v>
      </c>
      <c r="I23" s="40" t="s">
        <v>462</v>
      </c>
      <c r="J23" s="24" t="s">
        <v>463</v>
      </c>
      <c r="K23" s="24" t="s">
        <v>464</v>
      </c>
      <c r="L23" s="2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4" t="s">
        <v>459</v>
      </c>
      <c r="B24" s="24" t="s">
        <v>163</v>
      </c>
      <c r="C24" s="40" t="s">
        <v>460</v>
      </c>
      <c r="D24" s="24" t="s">
        <v>465</v>
      </c>
      <c r="E24" s="5" t="s">
        <v>230</v>
      </c>
      <c r="F24" s="5">
        <v>3.0</v>
      </c>
      <c r="G24" s="11">
        <v>12.0</v>
      </c>
      <c r="H24" s="11">
        <v>3.0</v>
      </c>
      <c r="I24" s="40" t="s">
        <v>466</v>
      </c>
      <c r="J24" s="24" t="s">
        <v>467</v>
      </c>
      <c r="K24" s="24" t="s">
        <v>468</v>
      </c>
      <c r="L24" s="2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4" t="s">
        <v>459</v>
      </c>
      <c r="B25" s="24" t="s">
        <v>163</v>
      </c>
      <c r="C25" s="40" t="s">
        <v>460</v>
      </c>
      <c r="D25" s="24" t="s">
        <v>469</v>
      </c>
      <c r="E25" s="5" t="s">
        <v>234</v>
      </c>
      <c r="F25" s="5">
        <v>2.0</v>
      </c>
      <c r="G25" s="11">
        <v>9.0</v>
      </c>
      <c r="H25" s="11">
        <v>2.0</v>
      </c>
      <c r="I25" s="40" t="s">
        <v>470</v>
      </c>
      <c r="J25" s="24" t="s">
        <v>471</v>
      </c>
      <c r="K25" s="24" t="s">
        <v>472</v>
      </c>
      <c r="L25" s="2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4" t="s">
        <v>473</v>
      </c>
      <c r="B26" s="24" t="s">
        <v>474</v>
      </c>
      <c r="C26" s="40" t="s">
        <v>475</v>
      </c>
      <c r="D26" s="24" t="s">
        <v>476</v>
      </c>
      <c r="E26" s="5" t="s">
        <v>242</v>
      </c>
      <c r="F26" s="5">
        <v>5.0</v>
      </c>
      <c r="G26" s="11">
        <v>18.0</v>
      </c>
      <c r="H26" s="11">
        <v>5.0</v>
      </c>
      <c r="I26" s="40" t="s">
        <v>477</v>
      </c>
      <c r="J26" s="24" t="s">
        <v>478</v>
      </c>
      <c r="K26" s="24" t="s">
        <v>479</v>
      </c>
      <c r="L26" s="24" t="s">
        <v>480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4" t="s">
        <v>473</v>
      </c>
      <c r="B27" s="24" t="s">
        <v>474</v>
      </c>
      <c r="C27" s="40" t="s">
        <v>475</v>
      </c>
      <c r="D27" s="24" t="s">
        <v>481</v>
      </c>
      <c r="E27" s="5" t="s">
        <v>237</v>
      </c>
      <c r="F27" s="5">
        <v>3.0</v>
      </c>
      <c r="G27" s="11">
        <v>12.0</v>
      </c>
      <c r="H27" s="11">
        <v>3.0</v>
      </c>
      <c r="I27" s="40" t="s">
        <v>482</v>
      </c>
      <c r="J27" s="24" t="s">
        <v>483</v>
      </c>
      <c r="K27" s="24" t="s">
        <v>484</v>
      </c>
      <c r="L27" s="24" t="s">
        <v>485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4" t="s">
        <v>473</v>
      </c>
      <c r="B28" s="24" t="s">
        <v>474</v>
      </c>
      <c r="C28" s="40" t="s">
        <v>475</v>
      </c>
      <c r="D28" s="24" t="s">
        <v>486</v>
      </c>
      <c r="E28" s="5" t="s">
        <v>230</v>
      </c>
      <c r="F28" s="5">
        <v>2.0</v>
      </c>
      <c r="G28" s="11">
        <v>9.0</v>
      </c>
      <c r="H28" s="11">
        <v>2.0</v>
      </c>
      <c r="I28" s="40" t="s">
        <v>487</v>
      </c>
      <c r="J28" s="24" t="s">
        <v>488</v>
      </c>
      <c r="K28" s="24" t="s">
        <v>489</v>
      </c>
      <c r="L28" s="2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4" t="s">
        <v>490</v>
      </c>
      <c r="B29" s="24" t="s">
        <v>491</v>
      </c>
      <c r="C29" s="40" t="s">
        <v>492</v>
      </c>
      <c r="D29" s="24" t="s">
        <v>493</v>
      </c>
      <c r="E29" s="5" t="s">
        <v>232</v>
      </c>
      <c r="F29" s="5">
        <v>3.0</v>
      </c>
      <c r="G29" s="11">
        <v>12.0</v>
      </c>
      <c r="H29" s="11">
        <v>3.0</v>
      </c>
      <c r="I29" s="40" t="s">
        <v>494</v>
      </c>
      <c r="J29" s="24" t="s">
        <v>495</v>
      </c>
      <c r="K29" s="24" t="s">
        <v>496</v>
      </c>
      <c r="L29" s="2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4" t="s">
        <v>490</v>
      </c>
      <c r="B30" s="24" t="s">
        <v>491</v>
      </c>
      <c r="C30" s="40" t="s">
        <v>492</v>
      </c>
      <c r="D30" s="24" t="s">
        <v>497</v>
      </c>
      <c r="E30" s="5" t="s">
        <v>226</v>
      </c>
      <c r="F30" s="5">
        <v>5.0</v>
      </c>
      <c r="G30" s="11">
        <v>18.0</v>
      </c>
      <c r="H30" s="11">
        <v>5.0</v>
      </c>
      <c r="I30" s="40" t="s">
        <v>498</v>
      </c>
      <c r="J30" s="24" t="s">
        <v>499</v>
      </c>
      <c r="K30" s="24" t="s">
        <v>500</v>
      </c>
      <c r="L30" s="2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4" t="s">
        <v>490</v>
      </c>
      <c r="B31" s="24" t="s">
        <v>491</v>
      </c>
      <c r="C31" s="40" t="s">
        <v>492</v>
      </c>
      <c r="D31" s="24" t="s">
        <v>501</v>
      </c>
      <c r="E31" s="5" t="s">
        <v>240</v>
      </c>
      <c r="F31" s="5">
        <v>3.0</v>
      </c>
      <c r="G31" s="11">
        <v>12.0</v>
      </c>
      <c r="H31" s="11">
        <v>3.0</v>
      </c>
      <c r="I31" s="40" t="s">
        <v>502</v>
      </c>
      <c r="J31" s="24" t="s">
        <v>503</v>
      </c>
      <c r="K31" s="24" t="s">
        <v>504</v>
      </c>
      <c r="L31" s="2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4" t="s">
        <v>505</v>
      </c>
      <c r="B32" s="24" t="s">
        <v>506</v>
      </c>
      <c r="C32" s="40" t="s">
        <v>507</v>
      </c>
      <c r="D32" s="24" t="s">
        <v>508</v>
      </c>
      <c r="E32" s="5" t="s">
        <v>237</v>
      </c>
      <c r="F32" s="5">
        <v>5.0</v>
      </c>
      <c r="G32" s="11">
        <v>18.0</v>
      </c>
      <c r="H32" s="11">
        <v>5.0</v>
      </c>
      <c r="I32" s="40" t="s">
        <v>509</v>
      </c>
      <c r="J32" s="24" t="s">
        <v>510</v>
      </c>
      <c r="K32" s="24" t="s">
        <v>511</v>
      </c>
      <c r="L32" s="24" t="s">
        <v>512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4" t="s">
        <v>505</v>
      </c>
      <c r="B33" s="24" t="s">
        <v>506</v>
      </c>
      <c r="C33" s="40" t="s">
        <v>507</v>
      </c>
      <c r="D33" s="24" t="s">
        <v>513</v>
      </c>
      <c r="E33" s="5" t="s">
        <v>234</v>
      </c>
      <c r="F33" s="5">
        <v>3.0</v>
      </c>
      <c r="G33" s="11">
        <v>12.0</v>
      </c>
      <c r="H33" s="11">
        <v>3.0</v>
      </c>
      <c r="I33" s="40" t="s">
        <v>514</v>
      </c>
      <c r="J33" s="24" t="s">
        <v>515</v>
      </c>
      <c r="K33" s="24" t="s">
        <v>516</v>
      </c>
      <c r="L33" s="24" t="s">
        <v>517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4" t="s">
        <v>505</v>
      </c>
      <c r="B34" s="24" t="s">
        <v>506</v>
      </c>
      <c r="C34" s="40" t="s">
        <v>507</v>
      </c>
      <c r="D34" s="24" t="s">
        <v>518</v>
      </c>
      <c r="E34" s="5" t="s">
        <v>242</v>
      </c>
      <c r="F34" s="5">
        <v>3.0</v>
      </c>
      <c r="G34" s="11">
        <v>12.0</v>
      </c>
      <c r="H34" s="11">
        <v>3.0</v>
      </c>
      <c r="I34" s="40" t="s">
        <v>519</v>
      </c>
      <c r="J34" s="24" t="s">
        <v>520</v>
      </c>
      <c r="K34" s="24" t="s">
        <v>521</v>
      </c>
      <c r="L34" s="24" t="s">
        <v>522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4" t="s">
        <v>523</v>
      </c>
      <c r="B35" s="24" t="s">
        <v>524</v>
      </c>
      <c r="C35" s="40" t="s">
        <v>525</v>
      </c>
      <c r="D35" s="24" t="s">
        <v>526</v>
      </c>
      <c r="E35" s="5" t="s">
        <v>232</v>
      </c>
      <c r="F35" s="5">
        <v>3.0</v>
      </c>
      <c r="G35" s="11">
        <v>12.0</v>
      </c>
      <c r="H35" s="11">
        <v>3.0</v>
      </c>
      <c r="I35" s="40" t="s">
        <v>527</v>
      </c>
      <c r="J35" s="24" t="s">
        <v>528</v>
      </c>
      <c r="K35" s="24" t="s">
        <v>529</v>
      </c>
      <c r="L35" s="2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4" t="s">
        <v>523</v>
      </c>
      <c r="B36" s="24" t="s">
        <v>524</v>
      </c>
      <c r="C36" s="40" t="s">
        <v>525</v>
      </c>
      <c r="D36" s="24" t="s">
        <v>530</v>
      </c>
      <c r="E36" s="5" t="s">
        <v>240</v>
      </c>
      <c r="F36" s="5">
        <v>3.0</v>
      </c>
      <c r="G36" s="11">
        <v>12.0</v>
      </c>
      <c r="H36" s="11">
        <v>3.0</v>
      </c>
      <c r="I36" s="40" t="s">
        <v>531</v>
      </c>
      <c r="J36" s="24" t="s">
        <v>532</v>
      </c>
      <c r="K36" s="24" t="s">
        <v>533</v>
      </c>
      <c r="L36" s="2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4" t="s">
        <v>523</v>
      </c>
      <c r="B37" s="24" t="s">
        <v>524</v>
      </c>
      <c r="C37" s="40" t="s">
        <v>525</v>
      </c>
      <c r="D37" s="24" t="s">
        <v>534</v>
      </c>
      <c r="E37" s="5" t="s">
        <v>226</v>
      </c>
      <c r="F37" s="5">
        <v>4.0</v>
      </c>
      <c r="G37" s="11">
        <v>15.0</v>
      </c>
      <c r="H37" s="11">
        <v>4.0</v>
      </c>
      <c r="I37" s="40" t="s">
        <v>535</v>
      </c>
      <c r="J37" s="24" t="s">
        <v>536</v>
      </c>
      <c r="K37" s="24" t="s">
        <v>537</v>
      </c>
      <c r="L37" s="2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4" t="s">
        <v>538</v>
      </c>
      <c r="B38" s="24" t="s">
        <v>539</v>
      </c>
      <c r="C38" s="40" t="s">
        <v>540</v>
      </c>
      <c r="D38" s="24" t="s">
        <v>541</v>
      </c>
      <c r="E38" s="5" t="s">
        <v>234</v>
      </c>
      <c r="F38" s="5">
        <v>3.0</v>
      </c>
      <c r="G38" s="11">
        <v>12.0</v>
      </c>
      <c r="H38" s="11">
        <v>3.0</v>
      </c>
      <c r="I38" s="40" t="s">
        <v>542</v>
      </c>
      <c r="J38" s="24" t="s">
        <v>543</v>
      </c>
      <c r="K38" s="24" t="s">
        <v>544</v>
      </c>
      <c r="L38" s="24" t="s">
        <v>450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4" t="s">
        <v>538</v>
      </c>
      <c r="B39" s="24" t="s">
        <v>539</v>
      </c>
      <c r="C39" s="40" t="s">
        <v>540</v>
      </c>
      <c r="D39" s="24" t="s">
        <v>545</v>
      </c>
      <c r="E39" s="5" t="s">
        <v>226</v>
      </c>
      <c r="F39" s="5">
        <v>3.0</v>
      </c>
      <c r="G39" s="11">
        <v>12.0</v>
      </c>
      <c r="H39" s="11">
        <v>3.0</v>
      </c>
      <c r="I39" s="40" t="s">
        <v>546</v>
      </c>
      <c r="J39" s="24" t="s">
        <v>547</v>
      </c>
      <c r="K39" s="24" t="s">
        <v>548</v>
      </c>
      <c r="L39" s="24" t="s">
        <v>480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4" t="s">
        <v>538</v>
      </c>
      <c r="B40" s="24" t="s">
        <v>539</v>
      </c>
      <c r="C40" s="40" t="s">
        <v>540</v>
      </c>
      <c r="D40" s="24" t="s">
        <v>549</v>
      </c>
      <c r="E40" s="5" t="s">
        <v>230</v>
      </c>
      <c r="F40" s="5">
        <v>3.0</v>
      </c>
      <c r="G40" s="11">
        <v>12.0</v>
      </c>
      <c r="H40" s="11">
        <v>3.0</v>
      </c>
      <c r="I40" s="40" t="s">
        <v>550</v>
      </c>
      <c r="J40" s="24" t="s">
        <v>551</v>
      </c>
      <c r="K40" s="24" t="s">
        <v>552</v>
      </c>
      <c r="L40" s="24" t="s">
        <v>378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4" t="s">
        <v>553</v>
      </c>
      <c r="B41" s="24" t="s">
        <v>554</v>
      </c>
      <c r="C41" s="40" t="s">
        <v>555</v>
      </c>
      <c r="D41" s="24" t="s">
        <v>556</v>
      </c>
      <c r="E41" s="5" t="s">
        <v>240</v>
      </c>
      <c r="F41" s="5">
        <v>3.0</v>
      </c>
      <c r="G41" s="11">
        <v>12.0</v>
      </c>
      <c r="H41" s="11">
        <v>3.0</v>
      </c>
      <c r="I41" s="40" t="s">
        <v>557</v>
      </c>
      <c r="J41" s="24" t="s">
        <v>558</v>
      </c>
      <c r="K41" s="24" t="s">
        <v>559</v>
      </c>
      <c r="L41" s="2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4" t="s">
        <v>553</v>
      </c>
      <c r="B42" s="24" t="s">
        <v>554</v>
      </c>
      <c r="C42" s="40" t="s">
        <v>555</v>
      </c>
      <c r="D42" s="24" t="s">
        <v>560</v>
      </c>
      <c r="E42" s="5" t="s">
        <v>230</v>
      </c>
      <c r="F42" s="5">
        <v>3.0</v>
      </c>
      <c r="G42" s="11">
        <v>12.0</v>
      </c>
      <c r="H42" s="11">
        <v>3.0</v>
      </c>
      <c r="I42" s="40" t="s">
        <v>561</v>
      </c>
      <c r="J42" s="24" t="s">
        <v>562</v>
      </c>
      <c r="K42" s="24" t="s">
        <v>563</v>
      </c>
      <c r="L42" s="2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4" t="s">
        <v>553</v>
      </c>
      <c r="B43" s="24" t="s">
        <v>554</v>
      </c>
      <c r="C43" s="40" t="s">
        <v>555</v>
      </c>
      <c r="D43" s="24" t="s">
        <v>564</v>
      </c>
      <c r="E43" s="5" t="s">
        <v>232</v>
      </c>
      <c r="F43" s="5">
        <v>4.0</v>
      </c>
      <c r="G43" s="11">
        <v>15.0</v>
      </c>
      <c r="H43" s="11">
        <v>4.0</v>
      </c>
      <c r="I43" s="40" t="s">
        <v>565</v>
      </c>
      <c r="J43" s="24" t="s">
        <v>566</v>
      </c>
      <c r="K43" s="24" t="s">
        <v>567</v>
      </c>
      <c r="L43" s="2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4" t="s">
        <v>568</v>
      </c>
      <c r="B44" s="24" t="s">
        <v>569</v>
      </c>
      <c r="C44" s="40" t="s">
        <v>570</v>
      </c>
      <c r="D44" s="24" t="s">
        <v>571</v>
      </c>
      <c r="E44" s="5" t="s">
        <v>240</v>
      </c>
      <c r="F44" s="5">
        <v>3.0</v>
      </c>
      <c r="G44" s="11">
        <v>12.0</v>
      </c>
      <c r="H44" s="11">
        <v>3.0</v>
      </c>
      <c r="I44" s="40" t="s">
        <v>572</v>
      </c>
      <c r="J44" s="24" t="s">
        <v>573</v>
      </c>
      <c r="K44" s="24" t="s">
        <v>574</v>
      </c>
      <c r="L44" s="2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4" t="s">
        <v>568</v>
      </c>
      <c r="B45" s="24" t="s">
        <v>569</v>
      </c>
      <c r="C45" s="40" t="s">
        <v>570</v>
      </c>
      <c r="D45" s="24" t="s">
        <v>575</v>
      </c>
      <c r="E45" s="5" t="s">
        <v>237</v>
      </c>
      <c r="F45" s="5">
        <v>3.0</v>
      </c>
      <c r="G45" s="11">
        <v>12.0</v>
      </c>
      <c r="H45" s="11">
        <v>3.0</v>
      </c>
      <c r="I45" s="40" t="s">
        <v>576</v>
      </c>
      <c r="J45" s="24" t="s">
        <v>577</v>
      </c>
      <c r="K45" s="24" t="s">
        <v>578</v>
      </c>
      <c r="L45" s="2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4" t="s">
        <v>568</v>
      </c>
      <c r="B46" s="24" t="s">
        <v>569</v>
      </c>
      <c r="C46" s="40" t="s">
        <v>570</v>
      </c>
      <c r="D46" s="24" t="s">
        <v>579</v>
      </c>
      <c r="E46" s="5" t="s">
        <v>242</v>
      </c>
      <c r="F46" s="5">
        <v>5.0</v>
      </c>
      <c r="G46" s="11">
        <v>18.0</v>
      </c>
      <c r="H46" s="11">
        <v>5.0</v>
      </c>
      <c r="I46" s="40" t="s">
        <v>580</v>
      </c>
      <c r="J46" s="24" t="s">
        <v>581</v>
      </c>
      <c r="K46" s="24" t="s">
        <v>582</v>
      </c>
      <c r="L46" s="24" t="s">
        <v>512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4" t="s">
        <v>583</v>
      </c>
      <c r="B47" s="24" t="s">
        <v>584</v>
      </c>
      <c r="C47" s="40" t="s">
        <v>585</v>
      </c>
      <c r="D47" s="24" t="s">
        <v>586</v>
      </c>
      <c r="E47" s="5" t="s">
        <v>234</v>
      </c>
      <c r="F47" s="5">
        <v>2.0</v>
      </c>
      <c r="G47" s="11">
        <v>9.0</v>
      </c>
      <c r="H47" s="11">
        <v>2.0</v>
      </c>
      <c r="I47" s="40" t="s">
        <v>587</v>
      </c>
      <c r="J47" s="24" t="s">
        <v>588</v>
      </c>
      <c r="K47" s="24" t="s">
        <v>589</v>
      </c>
      <c r="L47" s="24" t="s">
        <v>362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4" t="s">
        <v>583</v>
      </c>
      <c r="B48" s="24" t="s">
        <v>584</v>
      </c>
      <c r="C48" s="40" t="s">
        <v>585</v>
      </c>
      <c r="D48" s="24" t="s">
        <v>590</v>
      </c>
      <c r="E48" s="5" t="s">
        <v>237</v>
      </c>
      <c r="F48" s="5">
        <v>3.0</v>
      </c>
      <c r="G48" s="11">
        <v>12.0</v>
      </c>
      <c r="H48" s="11">
        <v>3.0</v>
      </c>
      <c r="I48" s="40" t="s">
        <v>591</v>
      </c>
      <c r="J48" s="24" t="s">
        <v>592</v>
      </c>
      <c r="K48" s="24" t="s">
        <v>593</v>
      </c>
      <c r="L48" s="24" t="s">
        <v>480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4" t="s">
        <v>583</v>
      </c>
      <c r="B49" s="24" t="s">
        <v>584</v>
      </c>
      <c r="C49" s="40" t="s">
        <v>585</v>
      </c>
      <c r="D49" s="24" t="s">
        <v>594</v>
      </c>
      <c r="E49" s="5" t="s">
        <v>242</v>
      </c>
      <c r="F49" s="5">
        <v>3.0</v>
      </c>
      <c r="G49" s="11">
        <v>12.0</v>
      </c>
      <c r="H49" s="11">
        <v>3.0</v>
      </c>
      <c r="I49" s="40" t="s">
        <v>595</v>
      </c>
      <c r="J49" s="24" t="s">
        <v>596</v>
      </c>
      <c r="K49" s="24" t="s">
        <v>597</v>
      </c>
      <c r="L49" s="24" t="s">
        <v>598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23"/>
      <c r="F50" s="2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2" t="s">
        <v>599</v>
      </c>
      <c r="B51" s="4"/>
      <c r="C51" s="4"/>
      <c r="D51" s="4"/>
      <c r="E51" s="42"/>
      <c r="F51" s="4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2"/>
      <c r="F52" s="4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2" t="s">
        <v>600</v>
      </c>
      <c r="B53" s="4"/>
      <c r="C53" s="4"/>
      <c r="D53" s="4"/>
      <c r="E53" s="42"/>
      <c r="F53" s="4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2" t="s">
        <v>601</v>
      </c>
      <c r="B54" s="4"/>
      <c r="C54" s="4"/>
      <c r="D54" s="4"/>
      <c r="E54" s="42"/>
      <c r="F54" s="4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2"/>
      <c r="F55" s="4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2"/>
      <c r="F56" s="4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2"/>
      <c r="F57" s="4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2"/>
      <c r="F58" s="4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2"/>
      <c r="F59" s="4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2"/>
      <c r="F60" s="4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2"/>
      <c r="F61" s="4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2"/>
      <c r="F62" s="4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2"/>
      <c r="F63" s="4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2"/>
      <c r="F64" s="4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2"/>
      <c r="F65" s="4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2"/>
      <c r="F66" s="4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2"/>
      <c r="F67" s="4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2"/>
      <c r="F68" s="4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2"/>
      <c r="F69" s="4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2"/>
      <c r="F70" s="4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2"/>
      <c r="F71" s="4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2"/>
      <c r="F72" s="4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2"/>
      <c r="F73" s="4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2"/>
      <c r="F74" s="4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2"/>
      <c r="F75" s="4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2"/>
      <c r="F76" s="4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2"/>
      <c r="F77" s="4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2"/>
      <c r="F78" s="4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2"/>
      <c r="F79" s="4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2"/>
      <c r="F80" s="4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2"/>
      <c r="F81" s="4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2"/>
      <c r="F82" s="4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2"/>
      <c r="F83" s="4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2"/>
      <c r="F84" s="4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2"/>
      <c r="F85" s="4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2"/>
      <c r="F86" s="4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2"/>
      <c r="F87" s="4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2"/>
      <c r="F88" s="4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2"/>
      <c r="F89" s="4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2"/>
      <c r="F90" s="4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2"/>
      <c r="F91" s="4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2"/>
      <c r="F92" s="4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2"/>
      <c r="F93" s="4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2"/>
      <c r="F94" s="4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2"/>
      <c r="F95" s="4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2"/>
      <c r="F96" s="4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2"/>
      <c r="F97" s="4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2"/>
      <c r="F98" s="4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23"/>
      <c r="F99" s="2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2"/>
      <c r="F100" s="4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2"/>
      <c r="F101" s="4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2"/>
      <c r="F102" s="4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2"/>
      <c r="F103" s="4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2"/>
      <c r="F104" s="4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2"/>
      <c r="F105" s="4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2"/>
      <c r="F106" s="4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2"/>
      <c r="F107" s="4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2"/>
      <c r="F108" s="4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2"/>
      <c r="F109" s="4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2"/>
      <c r="F110" s="4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2"/>
      <c r="F111" s="4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2"/>
      <c r="F112" s="4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2"/>
      <c r="F113" s="4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2"/>
      <c r="F114" s="4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2"/>
      <c r="F115" s="4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2"/>
      <c r="F116" s="4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2"/>
      <c r="F117" s="4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2"/>
      <c r="F118" s="4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2"/>
      <c r="F119" s="4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2"/>
      <c r="F120" s="4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2"/>
      <c r="F121" s="4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2"/>
      <c r="F122" s="4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2"/>
      <c r="F123" s="4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2"/>
      <c r="F124" s="4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2"/>
      <c r="F125" s="4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2"/>
      <c r="F126" s="4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2"/>
      <c r="F127" s="4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2"/>
      <c r="F128" s="4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2"/>
      <c r="F129" s="4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2"/>
      <c r="F130" s="4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2"/>
      <c r="F131" s="4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2"/>
      <c r="F132" s="4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2"/>
      <c r="F133" s="4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2"/>
      <c r="F134" s="4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2"/>
      <c r="F135" s="4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2"/>
      <c r="F136" s="4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2"/>
      <c r="F137" s="4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2"/>
      <c r="F138" s="4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2"/>
      <c r="F139" s="4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2"/>
      <c r="F140" s="4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2"/>
      <c r="F141" s="4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2"/>
      <c r="F142" s="4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2"/>
      <c r="F143" s="4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2"/>
      <c r="F144" s="4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2"/>
      <c r="F145" s="4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2"/>
      <c r="F146" s="4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2"/>
      <c r="F147" s="4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23"/>
      <c r="F148" s="2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2"/>
      <c r="F149" s="4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2"/>
      <c r="F150" s="4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2"/>
      <c r="F151" s="4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2"/>
      <c r="F152" s="4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2"/>
      <c r="F153" s="4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2"/>
      <c r="F154" s="4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2"/>
      <c r="F155" s="4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2"/>
      <c r="F156" s="4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2"/>
      <c r="F157" s="4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2"/>
      <c r="F158" s="4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2"/>
      <c r="F159" s="4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2"/>
      <c r="F160" s="4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2"/>
      <c r="F161" s="4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2"/>
      <c r="F162" s="4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2"/>
      <c r="F163" s="4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2"/>
      <c r="F164" s="4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2"/>
      <c r="F165" s="4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2"/>
      <c r="F166" s="4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2"/>
      <c r="F167" s="4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2"/>
      <c r="F168" s="4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2"/>
      <c r="F169" s="4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2"/>
      <c r="F170" s="4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2"/>
      <c r="F171" s="4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2"/>
      <c r="F172" s="4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2"/>
      <c r="F173" s="4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2"/>
      <c r="F174" s="4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2"/>
      <c r="F175" s="4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2"/>
      <c r="F176" s="4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2"/>
      <c r="F177" s="4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2"/>
      <c r="F178" s="4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2"/>
      <c r="F179" s="4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2"/>
      <c r="F180" s="4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2"/>
      <c r="F181" s="4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2"/>
      <c r="F182" s="4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2"/>
      <c r="F183" s="4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2"/>
      <c r="F184" s="4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2"/>
      <c r="F185" s="4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2"/>
      <c r="F186" s="4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2"/>
      <c r="F187" s="4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2"/>
      <c r="F188" s="4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2"/>
      <c r="F189" s="4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2"/>
      <c r="F190" s="4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2"/>
      <c r="F191" s="4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2"/>
      <c r="F192" s="4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2"/>
      <c r="F193" s="4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2"/>
      <c r="F194" s="4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2"/>
      <c r="F195" s="4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2"/>
      <c r="F196" s="4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23"/>
      <c r="F197" s="2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2"/>
      <c r="F198" s="4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2"/>
      <c r="F199" s="4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2"/>
      <c r="F200" s="4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2"/>
      <c r="F201" s="4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2"/>
      <c r="F202" s="4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2"/>
      <c r="F203" s="4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2"/>
      <c r="F204" s="4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2"/>
      <c r="F205" s="4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2"/>
      <c r="F206" s="4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2"/>
      <c r="F207" s="4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2"/>
      <c r="F208" s="4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2"/>
      <c r="F209" s="4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2"/>
      <c r="F210" s="4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2"/>
      <c r="F211" s="4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2"/>
      <c r="F212" s="4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2"/>
      <c r="F213" s="4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2"/>
      <c r="F214" s="4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2"/>
      <c r="F215" s="4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2"/>
      <c r="F216" s="4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2"/>
      <c r="F217" s="4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2"/>
      <c r="F218" s="4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2"/>
      <c r="F219" s="4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2"/>
      <c r="F220" s="4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2"/>
      <c r="F221" s="4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2"/>
      <c r="F222" s="4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2"/>
      <c r="F223" s="4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2"/>
      <c r="F224" s="4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2"/>
      <c r="F225" s="4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2"/>
      <c r="F226" s="4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2"/>
      <c r="F227" s="4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2"/>
      <c r="F228" s="4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2"/>
      <c r="F229" s="4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2"/>
      <c r="F230" s="4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2"/>
      <c r="F231" s="4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2"/>
      <c r="F232" s="4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2"/>
      <c r="F233" s="4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2"/>
      <c r="F234" s="4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2"/>
      <c r="F235" s="4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2"/>
      <c r="F236" s="4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2"/>
      <c r="F237" s="4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2"/>
      <c r="F238" s="4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2"/>
      <c r="F239" s="4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2"/>
      <c r="F240" s="4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2"/>
      <c r="F241" s="4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2"/>
      <c r="F242" s="4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2"/>
      <c r="F243" s="4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2"/>
      <c r="F244" s="4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2"/>
      <c r="F245" s="4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23"/>
      <c r="F246" s="2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2"/>
      <c r="F247" s="4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2"/>
      <c r="F248" s="4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2"/>
      <c r="F249" s="4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2"/>
      <c r="F250" s="4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2"/>
      <c r="F251" s="4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2"/>
      <c r="F252" s="4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2"/>
      <c r="F253" s="4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2"/>
      <c r="F254" s="4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6.0"/>
    <col customWidth="1" min="2" max="2" width="18.0"/>
    <col customWidth="1" min="3" max="3" width="10.0"/>
    <col customWidth="1" min="4" max="4" width="11.0"/>
    <col customWidth="1" min="5" max="5" width="28.0"/>
    <col customWidth="1" min="6" max="6" width="11.0"/>
    <col customWidth="1" min="7" max="7" width="9.0"/>
    <col customWidth="1" min="8" max="8" width="24.0"/>
    <col customWidth="1" min="9" max="9" width="70.0"/>
    <col customWidth="1" min="10" max="10" width="46.0"/>
    <col customWidth="1" min="11" max="11" width="60.0"/>
  </cols>
  <sheetData>
    <row r="1" ht="30.0" customHeight="1">
      <c r="A1" s="2" t="s">
        <v>602</v>
      </c>
      <c r="B1" s="3" t="s">
        <v>603</v>
      </c>
      <c r="C1" s="3" t="s">
        <v>604</v>
      </c>
      <c r="D1" s="3" t="s">
        <v>605</v>
      </c>
      <c r="E1" s="3" t="s">
        <v>330</v>
      </c>
      <c r="F1" s="3" t="s">
        <v>606</v>
      </c>
      <c r="G1" s="3" t="s">
        <v>607</v>
      </c>
      <c r="H1" s="3" t="s">
        <v>608</v>
      </c>
      <c r="I1" s="2" t="s">
        <v>609</v>
      </c>
      <c r="J1" s="2" t="s">
        <v>610</v>
      </c>
      <c r="K1" s="2" t="s">
        <v>611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4">
        <v>1.0</v>
      </c>
      <c r="B2" s="43" t="s">
        <v>612</v>
      </c>
      <c r="C2" s="5" t="s">
        <v>25</v>
      </c>
      <c r="D2" s="5" t="s">
        <v>613</v>
      </c>
      <c r="E2" s="5" t="s">
        <v>614</v>
      </c>
      <c r="F2" s="5" t="s">
        <v>25</v>
      </c>
      <c r="G2" s="5">
        <v>8.0</v>
      </c>
      <c r="H2" s="5"/>
      <c r="I2" s="39" t="s">
        <v>615</v>
      </c>
      <c r="J2" s="39" t="s">
        <v>616</v>
      </c>
      <c r="K2" s="39" t="s">
        <v>617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4">
        <v>2.0</v>
      </c>
      <c r="B3" s="5" t="s">
        <v>618</v>
      </c>
      <c r="C3" s="5" t="s">
        <v>25</v>
      </c>
      <c r="D3" s="5" t="s">
        <v>613</v>
      </c>
      <c r="E3" s="5" t="s">
        <v>619</v>
      </c>
      <c r="F3" s="5" t="s">
        <v>65</v>
      </c>
      <c r="G3" s="5">
        <v>12.0</v>
      </c>
      <c r="H3" s="5"/>
      <c r="I3" s="40" t="s">
        <v>620</v>
      </c>
      <c r="J3" s="40" t="s">
        <v>621</v>
      </c>
      <c r="K3" s="40" t="s">
        <v>622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4">
        <v>3.0</v>
      </c>
      <c r="B4" s="5" t="s">
        <v>623</v>
      </c>
      <c r="C4" s="5" t="s">
        <v>65</v>
      </c>
      <c r="D4" s="5" t="s">
        <v>624</v>
      </c>
      <c r="E4" s="5" t="s">
        <v>625</v>
      </c>
      <c r="F4" s="5" t="s">
        <v>65</v>
      </c>
      <c r="G4" s="5">
        <v>20.0</v>
      </c>
      <c r="H4" s="5" t="s">
        <v>626</v>
      </c>
      <c r="I4" s="40" t="s">
        <v>627</v>
      </c>
      <c r="J4" s="40" t="s">
        <v>628</v>
      </c>
      <c r="K4" s="40" t="s">
        <v>629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4">
        <v>4.0</v>
      </c>
      <c r="B5" s="5" t="s">
        <v>630</v>
      </c>
      <c r="C5" s="5" t="s">
        <v>65</v>
      </c>
      <c r="D5" s="5" t="s">
        <v>624</v>
      </c>
      <c r="E5" s="5" t="s">
        <v>631</v>
      </c>
      <c r="F5" s="5" t="s">
        <v>65</v>
      </c>
      <c r="G5" s="5">
        <v>12.0</v>
      </c>
      <c r="H5" s="5" t="s">
        <v>632</v>
      </c>
      <c r="I5" s="40" t="s">
        <v>633</v>
      </c>
      <c r="J5" s="40" t="s">
        <v>634</v>
      </c>
      <c r="K5" s="40" t="s">
        <v>635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4">
        <v>5.0</v>
      </c>
      <c r="B6" s="5" t="s">
        <v>636</v>
      </c>
      <c r="C6" s="5" t="s">
        <v>65</v>
      </c>
      <c r="D6" s="5" t="s">
        <v>624</v>
      </c>
      <c r="E6" s="5" t="s">
        <v>637</v>
      </c>
      <c r="F6" s="5" t="s">
        <v>48</v>
      </c>
      <c r="G6" s="5">
        <v>30.0</v>
      </c>
      <c r="H6" s="5"/>
      <c r="I6" s="40" t="s">
        <v>638</v>
      </c>
      <c r="J6" s="40" t="s">
        <v>621</v>
      </c>
      <c r="K6" s="40" t="s">
        <v>639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4">
        <v>6.0</v>
      </c>
      <c r="B7" s="5" t="s">
        <v>640</v>
      </c>
      <c r="C7" s="5" t="s">
        <v>48</v>
      </c>
      <c r="D7" s="5" t="s">
        <v>641</v>
      </c>
      <c r="E7" s="5" t="s">
        <v>642</v>
      </c>
      <c r="F7" s="5" t="s">
        <v>48</v>
      </c>
      <c r="G7" s="5">
        <v>40.0</v>
      </c>
      <c r="H7" s="5"/>
      <c r="I7" s="40" t="s">
        <v>643</v>
      </c>
      <c r="J7" s="40" t="s">
        <v>644</v>
      </c>
      <c r="K7" s="40" t="s">
        <v>645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4">
        <v>7.0</v>
      </c>
      <c r="B8" s="5" t="s">
        <v>646</v>
      </c>
      <c r="C8" s="5" t="s">
        <v>48</v>
      </c>
      <c r="D8" s="5" t="s">
        <v>641</v>
      </c>
      <c r="E8" s="5" t="s">
        <v>647</v>
      </c>
      <c r="F8" s="5" t="s">
        <v>48</v>
      </c>
      <c r="G8" s="5">
        <v>30.0</v>
      </c>
      <c r="H8" s="5" t="s">
        <v>648</v>
      </c>
      <c r="I8" s="40" t="s">
        <v>649</v>
      </c>
      <c r="J8" s="40" t="s">
        <v>650</v>
      </c>
      <c r="K8" s="40" t="s">
        <v>651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21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2" t="s">
        <v>652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1.0"/>
    <col customWidth="1" min="2" max="2" width="23.0"/>
    <col customWidth="1" min="3" max="3" width="6.0"/>
    <col customWidth="1" min="4" max="4" width="7.0"/>
    <col customWidth="1" min="5" max="5" width="6.0"/>
    <col customWidth="1" min="6" max="9" width="8.0"/>
    <col customWidth="1" min="10" max="10" width="9.0"/>
    <col customWidth="1" min="11" max="12" width="8.0"/>
    <col customWidth="1" min="13" max="15" width="10.0"/>
    <col customWidth="1" min="16" max="16" width="12.0"/>
    <col customWidth="1" min="17" max="17" width="10.0"/>
    <col customWidth="1" min="18" max="18" width="34.0"/>
    <col customWidth="1" min="19" max="21" width="8.0"/>
    <col customWidth="1" min="22" max="22" width="23.43"/>
    <col customWidth="1" min="23" max="23" width="26.0"/>
    <col customWidth="1" min="24" max="24" width="24.0"/>
  </cols>
  <sheetData>
    <row r="1" ht="45.75" customHeight="1">
      <c r="A1" s="3" t="s">
        <v>200</v>
      </c>
      <c r="B1" s="2" t="s">
        <v>653</v>
      </c>
      <c r="C1" s="3" t="s">
        <v>195</v>
      </c>
      <c r="D1" s="3" t="s">
        <v>654</v>
      </c>
      <c r="E1" s="3" t="s">
        <v>655</v>
      </c>
      <c r="F1" s="3" t="s">
        <v>656</v>
      </c>
      <c r="G1" s="3" t="s">
        <v>657</v>
      </c>
      <c r="H1" s="3" t="s">
        <v>658</v>
      </c>
      <c r="I1" s="3" t="s">
        <v>659</v>
      </c>
      <c r="J1" s="3" t="s">
        <v>660</v>
      </c>
      <c r="K1" s="3" t="s">
        <v>661</v>
      </c>
      <c r="L1" s="3" t="s">
        <v>662</v>
      </c>
      <c r="M1" s="3" t="s">
        <v>663</v>
      </c>
      <c r="N1" s="3" t="s">
        <v>664</v>
      </c>
      <c r="O1" s="3" t="s">
        <v>665</v>
      </c>
      <c r="P1" s="3" t="s">
        <v>666</v>
      </c>
      <c r="Q1" s="3" t="s">
        <v>667</v>
      </c>
      <c r="R1" s="3" t="s">
        <v>668</v>
      </c>
      <c r="S1" s="3" t="s">
        <v>669</v>
      </c>
      <c r="T1" s="3" t="s">
        <v>670</v>
      </c>
      <c r="U1" s="3" t="s">
        <v>671</v>
      </c>
      <c r="V1" s="2" t="s">
        <v>672</v>
      </c>
      <c r="W1" s="2" t="s">
        <v>673</v>
      </c>
      <c r="X1" s="3" t="s">
        <v>674</v>
      </c>
      <c r="Y1" s="4"/>
      <c r="Z1" s="4"/>
    </row>
    <row r="2">
      <c r="A2" s="5" t="s">
        <v>256</v>
      </c>
      <c r="B2" s="24" t="s">
        <v>675</v>
      </c>
      <c r="C2" s="5">
        <v>8.0</v>
      </c>
      <c r="D2" s="5">
        <v>2.0</v>
      </c>
      <c r="E2" s="5">
        <v>0.0</v>
      </c>
      <c r="F2" s="5">
        <v>1.0</v>
      </c>
      <c r="G2" s="11">
        <f t="array" ref="G2">INDEX('규칙'!$C$26:$C$30,F2)</f>
        <v>6</v>
      </c>
      <c r="H2" s="5">
        <v>1.0</v>
      </c>
      <c r="I2" s="11">
        <f t="array" ref="I2">INDEX(난이도[목표 달성치],H2)</f>
        <v>6</v>
      </c>
      <c r="J2" s="5">
        <v>0.0</v>
      </c>
      <c r="K2" s="11">
        <f t="shared" ref="K2:K16" si="1">MIN(5,2+J2)</f>
        <v>2</v>
      </c>
      <c r="L2" s="11">
        <f t="array" ref="L2">INDEX(난이도[목표 달성치],K2)</f>
        <v>9</v>
      </c>
      <c r="M2" s="12">
        <f t="shared" ref="M2:M16" si="2">(MAX(0,MIN(18,20-MAX(2,G2-2)))+1)/20</f>
        <v>0.85</v>
      </c>
      <c r="N2" s="12">
        <f t="shared" ref="N2:N16" si="3">(MAX(0,MIN(18,20-MAX(2,I2-2)))+1)/20</f>
        <v>0.85</v>
      </c>
      <c r="O2" s="12">
        <f t="shared" ref="O2:O16" si="4">(MAX(0,MIN(18,20-MAX(2,L2-2)))+1)/20</f>
        <v>0.7</v>
      </c>
      <c r="P2" s="44">
        <f t="shared" ref="P2:P16" si="5">D2*(1-N2)</f>
        <v>0.3</v>
      </c>
      <c r="Q2" s="5"/>
      <c r="R2" s="5"/>
      <c r="S2" s="5"/>
      <c r="T2" s="5"/>
      <c r="U2" s="11" t="str">
        <f t="array" ref="U2">IF(T2="","",INDEX(난이도[목표 달성치],T2))</f>
        <v/>
      </c>
      <c r="V2" s="24"/>
      <c r="W2" s="24"/>
      <c r="X2" s="5" t="s">
        <v>676</v>
      </c>
      <c r="Y2" s="4"/>
      <c r="Z2" s="4"/>
    </row>
    <row r="3">
      <c r="A3" s="5" t="s">
        <v>677</v>
      </c>
      <c r="B3" s="24" t="s">
        <v>678</v>
      </c>
      <c r="C3" s="5">
        <v>6.0</v>
      </c>
      <c r="D3" s="5">
        <v>2.0</v>
      </c>
      <c r="E3" s="5">
        <v>0.0</v>
      </c>
      <c r="F3" s="5">
        <v>2.0</v>
      </c>
      <c r="G3" s="11">
        <f t="array" ref="G3">INDEX('규칙'!$C$26:$C$30,F3)</f>
        <v>9</v>
      </c>
      <c r="H3" s="5">
        <v>1.0</v>
      </c>
      <c r="I3" s="11">
        <f t="array" ref="I3">INDEX(난이도[목표 달성치],H3)</f>
        <v>6</v>
      </c>
      <c r="J3" s="5">
        <v>0.0</v>
      </c>
      <c r="K3" s="11">
        <f t="shared" si="1"/>
        <v>2</v>
      </c>
      <c r="L3" s="11">
        <f t="array" ref="L3">INDEX(난이도[목표 달성치],K3)</f>
        <v>9</v>
      </c>
      <c r="M3" s="12">
        <f t="shared" si="2"/>
        <v>0.7</v>
      </c>
      <c r="N3" s="12">
        <f t="shared" si="3"/>
        <v>0.85</v>
      </c>
      <c r="O3" s="12">
        <f t="shared" si="4"/>
        <v>0.7</v>
      </c>
      <c r="P3" s="44">
        <f t="shared" si="5"/>
        <v>0.3</v>
      </c>
      <c r="Q3" s="5"/>
      <c r="R3" s="5"/>
      <c r="S3" s="5"/>
      <c r="T3" s="5"/>
      <c r="U3" s="11" t="str">
        <f t="array" ref="U3">IF(T3="","",INDEX(난이도[목표 달성치],T3))</f>
        <v/>
      </c>
      <c r="V3" s="24"/>
      <c r="W3" s="24"/>
      <c r="X3" s="5" t="s">
        <v>679</v>
      </c>
      <c r="Y3" s="4"/>
      <c r="Z3" s="4"/>
    </row>
    <row r="4">
      <c r="A4" s="5" t="s">
        <v>286</v>
      </c>
      <c r="B4" s="24" t="s">
        <v>680</v>
      </c>
      <c r="C4" s="5">
        <v>7.0</v>
      </c>
      <c r="D4" s="5">
        <v>2.0</v>
      </c>
      <c r="E4" s="5">
        <v>0.0</v>
      </c>
      <c r="F4" s="5">
        <v>2.0</v>
      </c>
      <c r="G4" s="11">
        <f t="array" ref="G4">INDEX('규칙'!$C$26:$C$30,F4)</f>
        <v>9</v>
      </c>
      <c r="H4" s="5">
        <v>1.0</v>
      </c>
      <c r="I4" s="11">
        <f t="array" ref="I4">INDEX(난이도[목표 달성치],H4)</f>
        <v>6</v>
      </c>
      <c r="J4" s="5">
        <v>0.0</v>
      </c>
      <c r="K4" s="11">
        <f t="shared" si="1"/>
        <v>2</v>
      </c>
      <c r="L4" s="11">
        <f t="array" ref="L4">INDEX(난이도[목표 달성치],K4)</f>
        <v>9</v>
      </c>
      <c r="M4" s="12">
        <f t="shared" si="2"/>
        <v>0.7</v>
      </c>
      <c r="N4" s="12">
        <f t="shared" si="3"/>
        <v>0.85</v>
      </c>
      <c r="O4" s="12">
        <f t="shared" si="4"/>
        <v>0.7</v>
      </c>
      <c r="P4" s="44">
        <f t="shared" si="5"/>
        <v>0.3</v>
      </c>
      <c r="Q4" s="5"/>
      <c r="R4" s="5"/>
      <c r="S4" s="5"/>
      <c r="T4" s="5"/>
      <c r="U4" s="11" t="str">
        <f t="array" ref="U4">IF(T4="","",INDEX(난이도[목표 달성치],T4))</f>
        <v/>
      </c>
      <c r="V4" s="24"/>
      <c r="W4" s="24"/>
      <c r="X4" s="5" t="s">
        <v>681</v>
      </c>
      <c r="Y4" s="4"/>
      <c r="Z4" s="4"/>
    </row>
    <row r="5">
      <c r="A5" s="5" t="s">
        <v>682</v>
      </c>
      <c r="B5" s="24" t="s">
        <v>683</v>
      </c>
      <c r="C5" s="5">
        <v>6.0</v>
      </c>
      <c r="D5" s="5">
        <v>2.0</v>
      </c>
      <c r="E5" s="5">
        <v>0.0</v>
      </c>
      <c r="F5" s="5">
        <v>2.0</v>
      </c>
      <c r="G5" s="11">
        <f t="array" ref="G5">INDEX('규칙'!$C$26:$C$30,F5)</f>
        <v>9</v>
      </c>
      <c r="H5" s="5">
        <v>1.0</v>
      </c>
      <c r="I5" s="11">
        <f t="array" ref="I5">INDEX(난이도[목표 달성치],H5)</f>
        <v>6</v>
      </c>
      <c r="J5" s="5">
        <v>1.0</v>
      </c>
      <c r="K5" s="11">
        <f t="shared" si="1"/>
        <v>3</v>
      </c>
      <c r="L5" s="11">
        <f t="array" ref="L5">INDEX(난이도[목표 달성치],K5)</f>
        <v>12</v>
      </c>
      <c r="M5" s="12">
        <f t="shared" si="2"/>
        <v>0.7</v>
      </c>
      <c r="N5" s="12">
        <f t="shared" si="3"/>
        <v>0.85</v>
      </c>
      <c r="O5" s="12">
        <f t="shared" si="4"/>
        <v>0.55</v>
      </c>
      <c r="P5" s="44">
        <f t="shared" si="5"/>
        <v>0.3</v>
      </c>
      <c r="Q5" s="5"/>
      <c r="R5" s="5"/>
      <c r="S5" s="5"/>
      <c r="T5" s="5"/>
      <c r="U5" s="11" t="str">
        <f t="array" ref="U5">IF(T5="","",INDEX(난이도[목표 달성치],T5))</f>
        <v/>
      </c>
      <c r="V5" s="24"/>
      <c r="W5" s="24"/>
      <c r="X5" s="5" t="s">
        <v>205</v>
      </c>
      <c r="Y5" s="4"/>
      <c r="Z5" s="4"/>
    </row>
    <row r="6">
      <c r="A6" s="5" t="s">
        <v>342</v>
      </c>
      <c r="B6" s="24" t="s">
        <v>684</v>
      </c>
      <c r="C6" s="5">
        <v>10.0</v>
      </c>
      <c r="D6" s="5">
        <v>3.0</v>
      </c>
      <c r="E6" s="5">
        <v>1.0</v>
      </c>
      <c r="F6" s="5">
        <v>2.0</v>
      </c>
      <c r="G6" s="11">
        <f t="array" ref="G6">INDEX('규칙'!$C$26:$C$30,F6)</f>
        <v>9</v>
      </c>
      <c r="H6" s="5">
        <v>2.0</v>
      </c>
      <c r="I6" s="11">
        <f t="array" ref="I6">INDEX(난이도[목표 달성치],H6)</f>
        <v>9</v>
      </c>
      <c r="J6" s="5">
        <v>1.0</v>
      </c>
      <c r="K6" s="11">
        <f t="shared" si="1"/>
        <v>3</v>
      </c>
      <c r="L6" s="11">
        <f t="array" ref="L6">INDEX(난이도[목표 달성치],K6)</f>
        <v>12</v>
      </c>
      <c r="M6" s="12">
        <f t="shared" si="2"/>
        <v>0.7</v>
      </c>
      <c r="N6" s="12">
        <f t="shared" si="3"/>
        <v>0.7</v>
      </c>
      <c r="O6" s="12">
        <f t="shared" si="4"/>
        <v>0.55</v>
      </c>
      <c r="P6" s="44">
        <f t="shared" si="5"/>
        <v>0.9</v>
      </c>
      <c r="Q6" s="5"/>
      <c r="R6" s="5"/>
      <c r="S6" s="5"/>
      <c r="T6" s="5"/>
      <c r="U6" s="11" t="str">
        <f t="array" ref="U6">IF(T6="","",INDEX(난이도[목표 달성치],T6))</f>
        <v/>
      </c>
      <c r="V6" s="24"/>
      <c r="W6" s="24"/>
      <c r="X6" s="5" t="s">
        <v>685</v>
      </c>
      <c r="Y6" s="4"/>
      <c r="Z6" s="4"/>
    </row>
    <row r="7">
      <c r="A7" s="5" t="s">
        <v>686</v>
      </c>
      <c r="B7" s="24" t="s">
        <v>687</v>
      </c>
      <c r="C7" s="5">
        <v>12.0</v>
      </c>
      <c r="D7" s="5">
        <v>3.0</v>
      </c>
      <c r="E7" s="5">
        <v>1.0</v>
      </c>
      <c r="F7" s="5">
        <v>2.0</v>
      </c>
      <c r="G7" s="11">
        <f t="array" ref="G7">INDEX('규칙'!$C$26:$C$30,F7)</f>
        <v>9</v>
      </c>
      <c r="H7" s="5">
        <v>3.0</v>
      </c>
      <c r="I7" s="11">
        <f t="array" ref="I7">INDEX(난이도[목표 달성치],H7)</f>
        <v>12</v>
      </c>
      <c r="J7" s="5">
        <v>1.0</v>
      </c>
      <c r="K7" s="11">
        <f t="shared" si="1"/>
        <v>3</v>
      </c>
      <c r="L7" s="11">
        <f t="array" ref="L7">INDEX(난이도[목표 달성치],K7)</f>
        <v>12</v>
      </c>
      <c r="M7" s="12">
        <f t="shared" si="2"/>
        <v>0.7</v>
      </c>
      <c r="N7" s="12">
        <f t="shared" si="3"/>
        <v>0.55</v>
      </c>
      <c r="O7" s="12">
        <f t="shared" si="4"/>
        <v>0.55</v>
      </c>
      <c r="P7" s="44">
        <f t="shared" si="5"/>
        <v>1.35</v>
      </c>
      <c r="Q7" s="5"/>
      <c r="R7" s="5"/>
      <c r="S7" s="5"/>
      <c r="T7" s="5"/>
      <c r="U7" s="11" t="str">
        <f t="array" ref="U7">IF(T7="","",INDEX(난이도[목표 달성치],T7))</f>
        <v/>
      </c>
      <c r="V7" s="24"/>
      <c r="W7" s="24"/>
      <c r="X7" s="5" t="s">
        <v>413</v>
      </c>
      <c r="Y7" s="4"/>
      <c r="Z7" s="4"/>
    </row>
    <row r="8">
      <c r="A8" s="5" t="s">
        <v>688</v>
      </c>
      <c r="B8" s="24" t="s">
        <v>689</v>
      </c>
      <c r="C8" s="5">
        <v>7.0</v>
      </c>
      <c r="D8" s="5">
        <v>3.0</v>
      </c>
      <c r="E8" s="5">
        <v>1.0</v>
      </c>
      <c r="F8" s="5">
        <v>3.0</v>
      </c>
      <c r="G8" s="11">
        <f t="array" ref="G8">INDEX('규칙'!$C$26:$C$30,F8)</f>
        <v>12</v>
      </c>
      <c r="H8" s="5">
        <v>2.0</v>
      </c>
      <c r="I8" s="11">
        <f t="array" ref="I8">INDEX(난이도[목표 달성치],H8)</f>
        <v>9</v>
      </c>
      <c r="J8" s="5">
        <v>1.0</v>
      </c>
      <c r="K8" s="11">
        <f t="shared" si="1"/>
        <v>3</v>
      </c>
      <c r="L8" s="11">
        <f t="array" ref="L8">INDEX(난이도[목표 달성치],K8)</f>
        <v>12</v>
      </c>
      <c r="M8" s="12">
        <f t="shared" si="2"/>
        <v>0.55</v>
      </c>
      <c r="N8" s="12">
        <f t="shared" si="3"/>
        <v>0.7</v>
      </c>
      <c r="O8" s="12">
        <f t="shared" si="4"/>
        <v>0.55</v>
      </c>
      <c r="P8" s="44">
        <f t="shared" si="5"/>
        <v>0.9</v>
      </c>
      <c r="Q8" s="5"/>
      <c r="R8" s="5"/>
      <c r="S8" s="5"/>
      <c r="T8" s="5"/>
      <c r="U8" s="11" t="str">
        <f t="array" ref="U8">IF(T8="","",INDEX(난이도[목표 달성치],T8))</f>
        <v/>
      </c>
      <c r="V8" s="24"/>
      <c r="W8" s="24"/>
      <c r="X8" s="5" t="s">
        <v>163</v>
      </c>
      <c r="Y8" s="4"/>
      <c r="Z8" s="4"/>
    </row>
    <row r="9">
      <c r="A9" s="5" t="s">
        <v>690</v>
      </c>
      <c r="B9" s="24" t="s">
        <v>691</v>
      </c>
      <c r="C9" s="5">
        <v>9.0</v>
      </c>
      <c r="D9" s="5">
        <v>3.0</v>
      </c>
      <c r="E9" s="5">
        <v>1.0</v>
      </c>
      <c r="F9" s="5">
        <v>3.0</v>
      </c>
      <c r="G9" s="11">
        <f t="array" ref="G9">INDEX('규칙'!$C$26:$C$30,F9)</f>
        <v>12</v>
      </c>
      <c r="H9" s="5">
        <v>2.0</v>
      </c>
      <c r="I9" s="11">
        <f t="array" ref="I9">INDEX(난이도[목표 달성치],H9)</f>
        <v>9</v>
      </c>
      <c r="J9" s="5">
        <v>1.0</v>
      </c>
      <c r="K9" s="11">
        <f t="shared" si="1"/>
        <v>3</v>
      </c>
      <c r="L9" s="11">
        <f t="array" ref="L9">INDEX(난이도[목표 달성치],K9)</f>
        <v>12</v>
      </c>
      <c r="M9" s="12">
        <f t="shared" si="2"/>
        <v>0.55</v>
      </c>
      <c r="N9" s="12">
        <f t="shared" si="3"/>
        <v>0.7</v>
      </c>
      <c r="O9" s="12">
        <f t="shared" si="4"/>
        <v>0.55</v>
      </c>
      <c r="P9" s="44">
        <f t="shared" si="5"/>
        <v>0.9</v>
      </c>
      <c r="Q9" s="5"/>
      <c r="R9" s="5"/>
      <c r="S9" s="5"/>
      <c r="T9" s="5"/>
      <c r="U9" s="11" t="str">
        <f t="array" ref="U9">IF(T9="","",INDEX(난이도[목표 달성치],T9))</f>
        <v/>
      </c>
      <c r="V9" s="24"/>
      <c r="W9" s="24"/>
      <c r="X9" s="5" t="s">
        <v>692</v>
      </c>
      <c r="Y9" s="4"/>
      <c r="Z9" s="4"/>
    </row>
    <row r="10">
      <c r="A10" s="5" t="s">
        <v>693</v>
      </c>
      <c r="B10" s="24" t="s">
        <v>694</v>
      </c>
      <c r="C10" s="5">
        <v>9.0</v>
      </c>
      <c r="D10" s="5">
        <v>3.0</v>
      </c>
      <c r="E10" s="5">
        <v>1.0</v>
      </c>
      <c r="F10" s="5">
        <v>3.0</v>
      </c>
      <c r="G10" s="11">
        <f t="array" ref="G10">INDEX('규칙'!$C$26:$C$30,F10)</f>
        <v>12</v>
      </c>
      <c r="H10" s="5">
        <v>2.0</v>
      </c>
      <c r="I10" s="11">
        <f t="array" ref="I10">INDEX(난이도[목표 달성치],H10)</f>
        <v>9</v>
      </c>
      <c r="J10" s="5">
        <v>1.0</v>
      </c>
      <c r="K10" s="11">
        <f t="shared" si="1"/>
        <v>3</v>
      </c>
      <c r="L10" s="11">
        <f t="array" ref="L10">INDEX(난이도[목표 달성치],K10)</f>
        <v>12</v>
      </c>
      <c r="M10" s="12">
        <f t="shared" si="2"/>
        <v>0.55</v>
      </c>
      <c r="N10" s="12">
        <f t="shared" si="3"/>
        <v>0.7</v>
      </c>
      <c r="O10" s="12">
        <f t="shared" si="4"/>
        <v>0.55</v>
      </c>
      <c r="P10" s="44">
        <f t="shared" si="5"/>
        <v>0.9</v>
      </c>
      <c r="Q10" s="5"/>
      <c r="R10" s="5"/>
      <c r="S10" s="5"/>
      <c r="T10" s="5"/>
      <c r="U10" s="11" t="str">
        <f t="array" ref="U10">IF(T10="","",INDEX(난이도[목표 달성치],T10))</f>
        <v/>
      </c>
      <c r="V10" s="24"/>
      <c r="W10" s="24"/>
      <c r="X10" s="5" t="s">
        <v>569</v>
      </c>
      <c r="Y10" s="4"/>
      <c r="Z10" s="4"/>
    </row>
    <row r="11">
      <c r="A11" s="5" t="s">
        <v>695</v>
      </c>
      <c r="B11" s="24" t="s">
        <v>696</v>
      </c>
      <c r="C11" s="5">
        <v>11.0</v>
      </c>
      <c r="D11" s="5">
        <v>3.0</v>
      </c>
      <c r="E11" s="5">
        <v>1.0</v>
      </c>
      <c r="F11" s="5">
        <v>2.0</v>
      </c>
      <c r="G11" s="11">
        <f t="array" ref="G11">INDEX('규칙'!$C$26:$C$30,F11)</f>
        <v>9</v>
      </c>
      <c r="H11" s="5">
        <v>3.0</v>
      </c>
      <c r="I11" s="11">
        <f t="array" ref="I11">INDEX(난이도[목표 달성치],H11)</f>
        <v>12</v>
      </c>
      <c r="J11" s="5">
        <v>2.0</v>
      </c>
      <c r="K11" s="11">
        <f t="shared" si="1"/>
        <v>4</v>
      </c>
      <c r="L11" s="11">
        <f t="array" ref="L11">INDEX(난이도[목표 달성치],K11)</f>
        <v>15</v>
      </c>
      <c r="M11" s="12">
        <f t="shared" si="2"/>
        <v>0.7</v>
      </c>
      <c r="N11" s="12">
        <f t="shared" si="3"/>
        <v>0.55</v>
      </c>
      <c r="O11" s="12">
        <f t="shared" si="4"/>
        <v>0.4</v>
      </c>
      <c r="P11" s="44">
        <f t="shared" si="5"/>
        <v>1.35</v>
      </c>
      <c r="Q11" s="5"/>
      <c r="R11" s="5"/>
      <c r="S11" s="5"/>
      <c r="T11" s="5"/>
      <c r="U11" s="11" t="str">
        <f t="array" ref="U11">IF(T11="","",INDEX(난이도[목표 달성치],T11))</f>
        <v/>
      </c>
      <c r="V11" s="24"/>
      <c r="W11" s="24"/>
      <c r="X11" s="5" t="s">
        <v>697</v>
      </c>
      <c r="Y11" s="4"/>
      <c r="Z11" s="4"/>
    </row>
    <row r="12">
      <c r="A12" s="5" t="s">
        <v>698</v>
      </c>
      <c r="B12" s="24" t="s">
        <v>699</v>
      </c>
      <c r="C12" s="5">
        <v>15.0</v>
      </c>
      <c r="D12" s="5">
        <v>4.0</v>
      </c>
      <c r="E12" s="5">
        <v>2.0</v>
      </c>
      <c r="F12" s="5">
        <v>3.0</v>
      </c>
      <c r="G12" s="11">
        <f t="array" ref="G12">INDEX('규칙'!$C$26:$C$30,F12)</f>
        <v>12</v>
      </c>
      <c r="H12" s="5">
        <v>2.0</v>
      </c>
      <c r="I12" s="11">
        <f t="array" ref="I12">INDEX(난이도[목표 달성치],H12)</f>
        <v>9</v>
      </c>
      <c r="J12" s="5">
        <v>2.0</v>
      </c>
      <c r="K12" s="11">
        <f t="shared" si="1"/>
        <v>4</v>
      </c>
      <c r="L12" s="11">
        <f t="array" ref="L12">INDEX(난이도[목표 달성치],K12)</f>
        <v>15</v>
      </c>
      <c r="M12" s="12">
        <f t="shared" si="2"/>
        <v>0.55</v>
      </c>
      <c r="N12" s="12">
        <f t="shared" si="3"/>
        <v>0.7</v>
      </c>
      <c r="O12" s="12">
        <f t="shared" si="4"/>
        <v>0.4</v>
      </c>
      <c r="P12" s="44">
        <f t="shared" si="5"/>
        <v>1.2</v>
      </c>
      <c r="Q12" s="5" t="s">
        <v>700</v>
      </c>
      <c r="R12" s="5" t="s">
        <v>701</v>
      </c>
      <c r="S12" s="5" t="s">
        <v>234</v>
      </c>
      <c r="T12" s="5">
        <v>2.0</v>
      </c>
      <c r="U12" s="11">
        <f t="array" ref="U12">IF(T12="","",INDEX(난이도[목표 달성치],T12))</f>
        <v>9</v>
      </c>
      <c r="V12" s="24" t="s">
        <v>702</v>
      </c>
      <c r="W12" s="24" t="s">
        <v>703</v>
      </c>
      <c r="X12" s="5" t="s">
        <v>704</v>
      </c>
      <c r="Y12" s="4"/>
      <c r="Z12" s="4"/>
    </row>
    <row r="13">
      <c r="A13" s="5" t="s">
        <v>705</v>
      </c>
      <c r="B13" s="24" t="s">
        <v>706</v>
      </c>
      <c r="C13" s="5">
        <v>13.0</v>
      </c>
      <c r="D13" s="5">
        <v>3.0</v>
      </c>
      <c r="E13" s="5">
        <v>2.0</v>
      </c>
      <c r="F13" s="5">
        <v>3.0</v>
      </c>
      <c r="G13" s="11">
        <f t="array" ref="G13">INDEX('규칙'!$C$26:$C$30,F13)</f>
        <v>12</v>
      </c>
      <c r="H13" s="5">
        <v>2.0</v>
      </c>
      <c r="I13" s="11">
        <f t="array" ref="I13">INDEX(난이도[목표 달성치],H13)</f>
        <v>9</v>
      </c>
      <c r="J13" s="5">
        <v>2.0</v>
      </c>
      <c r="K13" s="11">
        <f t="shared" si="1"/>
        <v>4</v>
      </c>
      <c r="L13" s="11">
        <f t="array" ref="L13">INDEX(난이도[목표 달성치],K13)</f>
        <v>15</v>
      </c>
      <c r="M13" s="12">
        <f t="shared" si="2"/>
        <v>0.55</v>
      </c>
      <c r="N13" s="12">
        <f t="shared" si="3"/>
        <v>0.7</v>
      </c>
      <c r="O13" s="12">
        <f t="shared" si="4"/>
        <v>0.4</v>
      </c>
      <c r="P13" s="44">
        <f t="shared" si="5"/>
        <v>0.9</v>
      </c>
      <c r="Q13" s="5" t="s">
        <v>707</v>
      </c>
      <c r="R13" s="5" t="s">
        <v>708</v>
      </c>
      <c r="S13" s="5" t="s">
        <v>242</v>
      </c>
      <c r="T13" s="5">
        <v>2.0</v>
      </c>
      <c r="U13" s="11">
        <f t="array" ref="U13">IF(T13="","",INDEX(난이도[목표 달성치],T13))</f>
        <v>9</v>
      </c>
      <c r="V13" s="24" t="s">
        <v>709</v>
      </c>
      <c r="W13" s="24" t="s">
        <v>710</v>
      </c>
      <c r="X13" s="5" t="s">
        <v>214</v>
      </c>
      <c r="Y13" s="4"/>
      <c r="Z13" s="4"/>
    </row>
    <row r="14">
      <c r="A14" s="5" t="s">
        <v>304</v>
      </c>
      <c r="B14" s="24" t="s">
        <v>711</v>
      </c>
      <c r="C14" s="5">
        <v>14.0</v>
      </c>
      <c r="D14" s="5">
        <v>4.0</v>
      </c>
      <c r="E14" s="5">
        <v>2.0</v>
      </c>
      <c r="F14" s="5">
        <v>2.0</v>
      </c>
      <c r="G14" s="11">
        <f t="array" ref="G14">INDEX('규칙'!$C$26:$C$30,F14)</f>
        <v>9</v>
      </c>
      <c r="H14" s="5">
        <v>3.0</v>
      </c>
      <c r="I14" s="11">
        <f t="array" ref="I14">INDEX(난이도[목표 달성치],H14)</f>
        <v>12</v>
      </c>
      <c r="J14" s="5">
        <v>3.0</v>
      </c>
      <c r="K14" s="11">
        <f t="shared" si="1"/>
        <v>5</v>
      </c>
      <c r="L14" s="11">
        <f t="array" ref="L14">INDEX(난이도[목표 달성치],K14)</f>
        <v>18</v>
      </c>
      <c r="M14" s="12">
        <f t="shared" si="2"/>
        <v>0.7</v>
      </c>
      <c r="N14" s="12">
        <f t="shared" si="3"/>
        <v>0.55</v>
      </c>
      <c r="O14" s="12">
        <f t="shared" si="4"/>
        <v>0.25</v>
      </c>
      <c r="P14" s="44">
        <f t="shared" si="5"/>
        <v>1.8</v>
      </c>
      <c r="Q14" s="5" t="s">
        <v>720</v>
      </c>
      <c r="R14" s="8" t="s">
        <v>721</v>
      </c>
      <c r="S14" s="5" t="s">
        <v>234</v>
      </c>
      <c r="T14" s="5">
        <v>2.0</v>
      </c>
      <c r="U14" s="11">
        <f t="array" ref="U14">IF(T14="","",INDEX(난이도[목표 달성치],T14))</f>
        <v>9</v>
      </c>
      <c r="V14" s="24" t="s">
        <v>722</v>
      </c>
      <c r="W14" s="24" t="s">
        <v>723</v>
      </c>
      <c r="X14" s="5" t="s">
        <v>724</v>
      </c>
      <c r="Y14" s="4"/>
      <c r="Z14" s="4"/>
    </row>
    <row r="15">
      <c r="A15" s="5" t="s">
        <v>725</v>
      </c>
      <c r="B15" s="24" t="s">
        <v>726</v>
      </c>
      <c r="C15" s="5">
        <v>18.0</v>
      </c>
      <c r="D15" s="5">
        <v>4.0</v>
      </c>
      <c r="E15" s="5">
        <v>3.0</v>
      </c>
      <c r="F15" s="5">
        <v>3.0</v>
      </c>
      <c r="G15" s="11">
        <f t="array" ref="G15">INDEX('규칙'!$C$26:$C$30,F15)</f>
        <v>12</v>
      </c>
      <c r="H15" s="5">
        <v>3.0</v>
      </c>
      <c r="I15" s="11">
        <f t="array" ref="I15">INDEX(난이도[목표 달성치],H15)</f>
        <v>12</v>
      </c>
      <c r="J15" s="5">
        <v>3.0</v>
      </c>
      <c r="K15" s="11">
        <f t="shared" si="1"/>
        <v>5</v>
      </c>
      <c r="L15" s="11">
        <f t="array" ref="L15">INDEX(난이도[목표 달성치],K15)</f>
        <v>18</v>
      </c>
      <c r="M15" s="12">
        <f t="shared" si="2"/>
        <v>0.55</v>
      </c>
      <c r="N15" s="12">
        <f t="shared" si="3"/>
        <v>0.55</v>
      </c>
      <c r="O15" s="12">
        <f t="shared" si="4"/>
        <v>0.25</v>
      </c>
      <c r="P15" s="44">
        <f t="shared" si="5"/>
        <v>1.8</v>
      </c>
      <c r="Q15" s="5" t="s">
        <v>736</v>
      </c>
      <c r="R15" s="8" t="s">
        <v>737</v>
      </c>
      <c r="S15" s="5" t="s">
        <v>237</v>
      </c>
      <c r="T15" s="5">
        <v>3.0</v>
      </c>
      <c r="U15" s="11">
        <f t="array" ref="U15">IF(T15="","",INDEX(난이도[목표 달성치],T15))</f>
        <v>12</v>
      </c>
      <c r="V15" s="24" t="s">
        <v>741</v>
      </c>
      <c r="W15" s="24" t="s">
        <v>742</v>
      </c>
      <c r="X15" s="5" t="s">
        <v>743</v>
      </c>
      <c r="Y15" s="4"/>
      <c r="Z15" s="4"/>
    </row>
    <row r="16">
      <c r="A16" s="5" t="s">
        <v>744</v>
      </c>
      <c r="B16" s="24" t="s">
        <v>745</v>
      </c>
      <c r="C16" s="5">
        <v>18.0</v>
      </c>
      <c r="D16" s="5">
        <v>4.0</v>
      </c>
      <c r="E16" s="5">
        <v>3.0</v>
      </c>
      <c r="F16" s="5">
        <v>4.0</v>
      </c>
      <c r="G16" s="11">
        <f t="array" ref="G16">INDEX('규칙'!$C$26:$C$30,F16)</f>
        <v>15</v>
      </c>
      <c r="H16" s="5">
        <v>2.0</v>
      </c>
      <c r="I16" s="11">
        <f t="array" ref="I16">INDEX(난이도[목표 달성치],H16)</f>
        <v>9</v>
      </c>
      <c r="J16" s="5">
        <v>3.0</v>
      </c>
      <c r="K16" s="11">
        <f t="shared" si="1"/>
        <v>5</v>
      </c>
      <c r="L16" s="11">
        <f t="array" ref="L16">INDEX(난이도[목표 달성치],K16)</f>
        <v>18</v>
      </c>
      <c r="M16" s="12">
        <f t="shared" si="2"/>
        <v>0.4</v>
      </c>
      <c r="N16" s="12">
        <f t="shared" si="3"/>
        <v>0.7</v>
      </c>
      <c r="O16" s="12">
        <f t="shared" si="4"/>
        <v>0.25</v>
      </c>
      <c r="P16" s="44">
        <f t="shared" si="5"/>
        <v>1.2</v>
      </c>
      <c r="Q16" s="5" t="s">
        <v>751</v>
      </c>
      <c r="R16" s="5" t="s">
        <v>752</v>
      </c>
      <c r="S16" s="5" t="s">
        <v>240</v>
      </c>
      <c r="T16" s="5">
        <v>3.0</v>
      </c>
      <c r="U16" s="11">
        <f t="array" ref="U16">IF(T16="","",INDEX(난이도[목표 달성치],T16))</f>
        <v>12</v>
      </c>
      <c r="V16" s="24" t="s">
        <v>756</v>
      </c>
      <c r="W16" s="24" t="s">
        <v>757</v>
      </c>
      <c r="X16" s="5" t="s">
        <v>214</v>
      </c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2" t="s">
        <v>761</v>
      </c>
      <c r="B18" s="2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2" t="s">
        <v>762</v>
      </c>
      <c r="B19" s="2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2" t="s">
        <v>763</v>
      </c>
      <c r="B20" s="2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1" t="s">
        <v>766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 t="s">
        <v>767</v>
      </c>
      <c r="B23" s="45" t="s">
        <v>768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2" t="s">
        <v>769</v>
      </c>
      <c r="B24" s="45" t="s">
        <v>770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2" t="s">
        <v>771</v>
      </c>
      <c r="B25" s="45" t="s">
        <v>772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2" t="s">
        <v>773</v>
      </c>
      <c r="B26" s="45" t="s">
        <v>774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2" t="s">
        <v>775</v>
      </c>
      <c r="B27" s="45" t="s">
        <v>776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2" t="s">
        <v>777</v>
      </c>
      <c r="B28" s="45" t="s">
        <v>778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 t="s">
        <v>779</v>
      </c>
      <c r="B29" s="45" t="s">
        <v>780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2" t="s">
        <v>781</v>
      </c>
      <c r="B30" s="46" t="s">
        <v>782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2" t="s">
        <v>783</v>
      </c>
      <c r="B31" s="45" t="s">
        <v>784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2" t="s">
        <v>786</v>
      </c>
      <c r="B32" s="45" t="s">
        <v>787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 t="s">
        <v>788</v>
      </c>
      <c r="B33" s="45" t="s">
        <v>789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2" t="s">
        <v>790</v>
      </c>
      <c r="B34" s="46" t="s">
        <v>791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B30:F30"/>
    <mergeCell ref="B31:F31"/>
    <mergeCell ref="B32:F32"/>
    <mergeCell ref="B33:F33"/>
    <mergeCell ref="B34:F34"/>
    <mergeCell ref="B23:F23"/>
    <mergeCell ref="B24:F24"/>
    <mergeCell ref="B25:F25"/>
    <mergeCell ref="B26:F26"/>
    <mergeCell ref="B27:F27"/>
    <mergeCell ref="B28:F28"/>
    <mergeCell ref="B29:F29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2" width="11.0"/>
    <col customWidth="1" min="3" max="3" width="20.0"/>
    <col customWidth="1" min="4" max="4" width="11.0"/>
    <col customWidth="1" min="5" max="5" width="9.0"/>
    <col customWidth="1" min="6" max="7" width="6.0"/>
    <col customWidth="1" min="8" max="8" width="8.0"/>
    <col customWidth="1" min="9" max="10" width="9.0"/>
    <col customWidth="1" min="11" max="11" width="11.0"/>
  </cols>
  <sheetData>
    <row r="1" ht="33.75" customHeight="1">
      <c r="A1" s="3" t="s">
        <v>247</v>
      </c>
      <c r="B1" s="3" t="s">
        <v>712</v>
      </c>
      <c r="C1" s="3" t="s">
        <v>713</v>
      </c>
      <c r="D1" s="3" t="s">
        <v>714</v>
      </c>
      <c r="E1" s="3" t="s">
        <v>329</v>
      </c>
      <c r="F1" s="3" t="s">
        <v>199</v>
      </c>
      <c r="G1" s="3" t="s">
        <v>330</v>
      </c>
      <c r="H1" s="3" t="s">
        <v>331</v>
      </c>
      <c r="I1" s="3" t="s">
        <v>715</v>
      </c>
      <c r="J1" s="3" t="s">
        <v>716</v>
      </c>
      <c r="K1" s="3" t="s">
        <v>717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25</v>
      </c>
      <c r="B2" s="5" t="s">
        <v>718</v>
      </c>
      <c r="C2" s="5" t="s">
        <v>719</v>
      </c>
      <c r="D2" s="5"/>
      <c r="E2" s="5" t="s">
        <v>240</v>
      </c>
      <c r="F2" s="5">
        <v>3.0</v>
      </c>
      <c r="G2" s="11">
        <f t="array" ref="G2">INDEX('규칙'!$C$26:$C$30,F2)</f>
        <v>12</v>
      </c>
      <c r="H2" s="11">
        <f t="array" ref="H2">INDEX('규칙'!$E$26:$E$30,F2)</f>
        <v>3</v>
      </c>
      <c r="I2" s="5"/>
      <c r="J2" s="5">
        <v>15.0</v>
      </c>
      <c r="K2" s="12">
        <f t="shared" ref="K2:K31" si="1">(MAX(0,MIN(18,20-MAX(2,G2-2)))+1)/20</f>
        <v>0.55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87</v>
      </c>
      <c r="B3" s="5" t="s">
        <v>727</v>
      </c>
      <c r="C3" s="5" t="s">
        <v>728</v>
      </c>
      <c r="D3" s="5" t="s">
        <v>729</v>
      </c>
      <c r="E3" s="5" t="s">
        <v>234</v>
      </c>
      <c r="F3" s="5">
        <v>1.0</v>
      </c>
      <c r="G3" s="11">
        <f t="array" ref="G3">INDEX('규칙'!$C$26:$C$30,F3)</f>
        <v>6</v>
      </c>
      <c r="H3" s="11">
        <f t="array" ref="H3">INDEX('규칙'!$E$26:$E$30,F3)</f>
        <v>1</v>
      </c>
      <c r="I3" s="5"/>
      <c r="J3" s="5"/>
      <c r="K3" s="12">
        <f t="shared" si="1"/>
        <v>0.85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87</v>
      </c>
      <c r="B4" s="5" t="s">
        <v>727</v>
      </c>
      <c r="C4" s="5" t="s">
        <v>730</v>
      </c>
      <c r="D4" s="5" t="s">
        <v>731</v>
      </c>
      <c r="E4" s="5" t="s">
        <v>234</v>
      </c>
      <c r="F4" s="5">
        <v>2.0</v>
      </c>
      <c r="G4" s="11">
        <f t="array" ref="G4">INDEX('규칙'!$C$26:$C$30,F4)</f>
        <v>9</v>
      </c>
      <c r="H4" s="11">
        <f t="array" ref="H4">INDEX('규칙'!$E$26:$E$30,F4)</f>
        <v>2</v>
      </c>
      <c r="I4" s="5"/>
      <c r="J4" s="5"/>
      <c r="K4" s="12">
        <f t="shared" si="1"/>
        <v>0.7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194</v>
      </c>
      <c r="B5" s="5" t="s">
        <v>727</v>
      </c>
      <c r="C5" s="5" t="s">
        <v>730</v>
      </c>
      <c r="D5" s="5" t="s">
        <v>731</v>
      </c>
      <c r="E5" s="5" t="s">
        <v>234</v>
      </c>
      <c r="F5" s="5">
        <v>2.0</v>
      </c>
      <c r="G5" s="11">
        <f t="array" ref="G5">INDEX('규칙'!$C$26:$C$30,F5)</f>
        <v>9</v>
      </c>
      <c r="H5" s="11">
        <f t="array" ref="H5">INDEX('규칙'!$E$26:$E$30,F5)</f>
        <v>2</v>
      </c>
      <c r="I5" s="5"/>
      <c r="J5" s="5"/>
      <c r="K5" s="12">
        <f t="shared" si="1"/>
        <v>0.7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194</v>
      </c>
      <c r="B6" s="5" t="s">
        <v>727</v>
      </c>
      <c r="C6" s="5" t="s">
        <v>728</v>
      </c>
      <c r="D6" s="5" t="s">
        <v>729</v>
      </c>
      <c r="E6" s="5" t="s">
        <v>234</v>
      </c>
      <c r="F6" s="5">
        <v>1.0</v>
      </c>
      <c r="G6" s="11">
        <f t="array" ref="G6">INDEX('규칙'!$C$26:$C$30,F6)</f>
        <v>6</v>
      </c>
      <c r="H6" s="11">
        <f t="array" ref="H6">INDEX('규칙'!$E$26:$E$30,F6)</f>
        <v>1</v>
      </c>
      <c r="I6" s="5"/>
      <c r="J6" s="5"/>
      <c r="K6" s="12">
        <f t="shared" si="1"/>
        <v>0.85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102</v>
      </c>
      <c r="B7" s="5" t="s">
        <v>727</v>
      </c>
      <c r="C7" s="5" t="s">
        <v>732</v>
      </c>
      <c r="D7" s="5" t="s">
        <v>733</v>
      </c>
      <c r="E7" s="5" t="s">
        <v>234</v>
      </c>
      <c r="F7" s="5">
        <v>2.0</v>
      </c>
      <c r="G7" s="11">
        <f t="array" ref="G7">INDEX('규칙'!$C$26:$C$30,F7)</f>
        <v>9</v>
      </c>
      <c r="H7" s="11">
        <f t="array" ref="H7">INDEX('규칙'!$E$26:$E$30,F7)</f>
        <v>2</v>
      </c>
      <c r="I7" s="5" t="s">
        <v>632</v>
      </c>
      <c r="J7" s="5"/>
      <c r="K7" s="12">
        <f t="shared" si="1"/>
        <v>0.7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49</v>
      </c>
      <c r="B8" s="5" t="s">
        <v>727</v>
      </c>
      <c r="C8" s="5" t="s">
        <v>734</v>
      </c>
      <c r="D8" s="5" t="s">
        <v>735</v>
      </c>
      <c r="E8" s="5" t="s">
        <v>234</v>
      </c>
      <c r="F8" s="5">
        <v>2.0</v>
      </c>
      <c r="G8" s="11">
        <f t="array" ref="G8">INDEX('규칙'!$C$26:$C$30,F8)</f>
        <v>9</v>
      </c>
      <c r="H8" s="11">
        <f t="array" ref="H8">INDEX('규칙'!$E$26:$E$30,F8)</f>
        <v>2</v>
      </c>
      <c r="I8" s="5"/>
      <c r="J8" s="5"/>
      <c r="K8" s="12">
        <f t="shared" si="1"/>
        <v>0.7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49</v>
      </c>
      <c r="B9" s="5" t="s">
        <v>727</v>
      </c>
      <c r="C9" s="5" t="s">
        <v>730</v>
      </c>
      <c r="D9" s="5" t="s">
        <v>731</v>
      </c>
      <c r="E9" s="5" t="s">
        <v>234</v>
      </c>
      <c r="F9" s="5">
        <v>2.0</v>
      </c>
      <c r="G9" s="11">
        <f t="array" ref="G9">INDEX('규칙'!$C$26:$C$30,F9)</f>
        <v>9</v>
      </c>
      <c r="H9" s="11">
        <f t="array" ref="H9">INDEX('규칙'!$E$26:$E$30,F9)</f>
        <v>2</v>
      </c>
      <c r="I9" s="5"/>
      <c r="J9" s="5"/>
      <c r="K9" s="12">
        <f t="shared" si="1"/>
        <v>0.7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49</v>
      </c>
      <c r="B10" s="5" t="s">
        <v>718</v>
      </c>
      <c r="C10" s="5" t="s">
        <v>738</v>
      </c>
      <c r="D10" s="5"/>
      <c r="E10" s="5" t="s">
        <v>240</v>
      </c>
      <c r="F10" s="5">
        <v>3.0</v>
      </c>
      <c r="G10" s="11">
        <f t="array" ref="G10">INDEX('규칙'!$C$26:$C$30,F10)</f>
        <v>12</v>
      </c>
      <c r="H10" s="11">
        <f t="array" ref="H10">INDEX('규칙'!$E$26:$E$30,F10)</f>
        <v>3</v>
      </c>
      <c r="I10" s="5"/>
      <c r="J10" s="5">
        <v>12.0</v>
      </c>
      <c r="K10" s="12">
        <f t="shared" si="1"/>
        <v>0.55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68</v>
      </c>
      <c r="B11" s="5" t="s">
        <v>727</v>
      </c>
      <c r="C11" s="5" t="s">
        <v>734</v>
      </c>
      <c r="D11" s="5" t="s">
        <v>735</v>
      </c>
      <c r="E11" s="5" t="s">
        <v>234</v>
      </c>
      <c r="F11" s="5">
        <v>2.0</v>
      </c>
      <c r="G11" s="11">
        <f t="array" ref="G11">INDEX('규칙'!$C$26:$C$30,F11)</f>
        <v>9</v>
      </c>
      <c r="H11" s="11">
        <f t="array" ref="H11">INDEX('규칙'!$E$26:$E$30,F11)</f>
        <v>2</v>
      </c>
      <c r="I11" s="5"/>
      <c r="J11" s="5"/>
      <c r="K11" s="12">
        <f t="shared" si="1"/>
        <v>0.7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163</v>
      </c>
      <c r="B12" s="5" t="s">
        <v>727</v>
      </c>
      <c r="C12" s="5" t="s">
        <v>734</v>
      </c>
      <c r="D12" s="5" t="s">
        <v>735</v>
      </c>
      <c r="E12" s="5" t="s">
        <v>234</v>
      </c>
      <c r="F12" s="5">
        <v>2.0</v>
      </c>
      <c r="G12" s="11">
        <f t="array" ref="G12">INDEX('규칙'!$C$26:$C$30,F12)</f>
        <v>9</v>
      </c>
      <c r="H12" s="11">
        <f t="array" ref="H12">INDEX('규칙'!$E$26:$E$30,F12)</f>
        <v>2</v>
      </c>
      <c r="I12" s="5"/>
      <c r="J12" s="5"/>
      <c r="K12" s="12">
        <f t="shared" si="1"/>
        <v>0.7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163</v>
      </c>
      <c r="B13" s="5" t="s">
        <v>718</v>
      </c>
      <c r="C13" s="5" t="s">
        <v>739</v>
      </c>
      <c r="D13" s="5"/>
      <c r="E13" s="5" t="s">
        <v>240</v>
      </c>
      <c r="F13" s="5">
        <v>4.0</v>
      </c>
      <c r="G13" s="11">
        <f t="array" ref="G13">INDEX('규칙'!$C$26:$C$30,F13)</f>
        <v>15</v>
      </c>
      <c r="H13" s="11">
        <f t="array" ref="H13">INDEX('규칙'!$E$26:$E$30,F13)</f>
        <v>4</v>
      </c>
      <c r="I13" s="5"/>
      <c r="J13" s="5">
        <v>18.0</v>
      </c>
      <c r="K13" s="12">
        <f t="shared" si="1"/>
        <v>0.4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65</v>
      </c>
      <c r="B14" s="5" t="s">
        <v>718</v>
      </c>
      <c r="C14" s="5" t="s">
        <v>740</v>
      </c>
      <c r="D14" s="5"/>
      <c r="E14" s="5" t="s">
        <v>240</v>
      </c>
      <c r="F14" s="5">
        <v>3.0</v>
      </c>
      <c r="G14" s="11">
        <f t="array" ref="G14">INDEX('규칙'!$C$26:$C$30,F14)</f>
        <v>12</v>
      </c>
      <c r="H14" s="11">
        <f t="array" ref="H14">INDEX('규칙'!$E$26:$E$30,F14)</f>
        <v>3</v>
      </c>
      <c r="I14" s="5"/>
      <c r="J14" s="5">
        <v>18.0</v>
      </c>
      <c r="K14" s="12">
        <f t="shared" si="1"/>
        <v>0.55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205</v>
      </c>
      <c r="B15" s="5" t="s">
        <v>727</v>
      </c>
      <c r="C15" s="5" t="s">
        <v>732</v>
      </c>
      <c r="D15" s="5" t="s">
        <v>733</v>
      </c>
      <c r="E15" s="5" t="s">
        <v>234</v>
      </c>
      <c r="F15" s="5">
        <v>2.0</v>
      </c>
      <c r="G15" s="11">
        <f t="array" ref="G15">INDEX('규칙'!$C$26:$C$30,F15)</f>
        <v>9</v>
      </c>
      <c r="H15" s="11">
        <f t="array" ref="H15">INDEX('규칙'!$E$26:$E$30,F15)</f>
        <v>2</v>
      </c>
      <c r="I15" s="5" t="s">
        <v>632</v>
      </c>
      <c r="J15" s="5"/>
      <c r="K15" s="12">
        <f t="shared" si="1"/>
        <v>0.7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16</v>
      </c>
      <c r="B16" s="5" t="s">
        <v>727</v>
      </c>
      <c r="C16" s="5" t="s">
        <v>728</v>
      </c>
      <c r="D16" s="5" t="s">
        <v>729</v>
      </c>
      <c r="E16" s="5" t="s">
        <v>234</v>
      </c>
      <c r="F16" s="5">
        <v>1.0</v>
      </c>
      <c r="G16" s="11">
        <f t="array" ref="G16">INDEX('규칙'!$C$26:$C$30,F16)</f>
        <v>6</v>
      </c>
      <c r="H16" s="11">
        <f t="array" ref="H16">INDEX('규칙'!$E$26:$E$30,F16)</f>
        <v>1</v>
      </c>
      <c r="I16" s="5"/>
      <c r="J16" s="5"/>
      <c r="K16" s="12">
        <f t="shared" si="1"/>
        <v>0.85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16</v>
      </c>
      <c r="B17" s="5" t="s">
        <v>727</v>
      </c>
      <c r="C17" s="5" t="s">
        <v>746</v>
      </c>
      <c r="D17" s="5" t="s">
        <v>747</v>
      </c>
      <c r="E17" s="5" t="s">
        <v>226</v>
      </c>
      <c r="F17" s="5">
        <v>2.0</v>
      </c>
      <c r="G17" s="11">
        <f t="array" ref="G17">INDEX('규칙'!$C$26:$C$30,F17)</f>
        <v>9</v>
      </c>
      <c r="H17" s="11">
        <f t="array" ref="H17">INDEX('규칙'!$E$26:$E$30,F17)</f>
        <v>2</v>
      </c>
      <c r="I17" s="5" t="s">
        <v>748</v>
      </c>
      <c r="J17" s="5"/>
      <c r="K17" s="12">
        <f t="shared" si="1"/>
        <v>0.7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16</v>
      </c>
      <c r="B18" s="5" t="s">
        <v>718</v>
      </c>
      <c r="C18" s="5" t="s">
        <v>749</v>
      </c>
      <c r="D18" s="5"/>
      <c r="E18" s="5" t="s">
        <v>240</v>
      </c>
      <c r="F18" s="5">
        <v>4.0</v>
      </c>
      <c r="G18" s="11">
        <f t="array" ref="G18">INDEX('규칙'!$C$26:$C$30,F18)</f>
        <v>15</v>
      </c>
      <c r="H18" s="11">
        <f t="array" ref="H18">INDEX('규칙'!$E$26:$E$30,F18)</f>
        <v>4</v>
      </c>
      <c r="I18" s="5"/>
      <c r="J18" s="5">
        <v>22.0</v>
      </c>
      <c r="K18" s="12">
        <f t="shared" si="1"/>
        <v>0.4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17</v>
      </c>
      <c r="B19" s="5" t="s">
        <v>727</v>
      </c>
      <c r="C19" s="5" t="s">
        <v>734</v>
      </c>
      <c r="D19" s="5" t="s">
        <v>735</v>
      </c>
      <c r="E19" s="5" t="s">
        <v>234</v>
      </c>
      <c r="F19" s="5">
        <v>3.0</v>
      </c>
      <c r="G19" s="11">
        <f t="array" ref="G19">INDEX('규칙'!$C$26:$C$30,F19)</f>
        <v>12</v>
      </c>
      <c r="H19" s="11">
        <f t="array" ref="H19">INDEX('규칙'!$E$26:$E$30,F19)</f>
        <v>3</v>
      </c>
      <c r="I19" s="5"/>
      <c r="J19" s="5"/>
      <c r="K19" s="12">
        <f t="shared" si="1"/>
        <v>0.55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48</v>
      </c>
      <c r="B20" s="5" t="s">
        <v>718</v>
      </c>
      <c r="C20" s="5" t="s">
        <v>750</v>
      </c>
      <c r="D20" s="5"/>
      <c r="E20" s="5" t="s">
        <v>240</v>
      </c>
      <c r="F20" s="5">
        <v>4.0</v>
      </c>
      <c r="G20" s="11">
        <f t="array" ref="G20">INDEX('규칙'!$C$26:$C$30,F20)</f>
        <v>15</v>
      </c>
      <c r="H20" s="11">
        <f t="array" ref="H20">INDEX('규칙'!$E$26:$E$30,F20)</f>
        <v>4</v>
      </c>
      <c r="I20" s="5"/>
      <c r="J20" s="5">
        <v>25.0</v>
      </c>
      <c r="K20" s="12">
        <f t="shared" si="1"/>
        <v>0.4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76</v>
      </c>
      <c r="B21" s="5" t="s">
        <v>727</v>
      </c>
      <c r="C21" s="5" t="s">
        <v>746</v>
      </c>
      <c r="D21" s="5" t="s">
        <v>747</v>
      </c>
      <c r="E21" s="5" t="s">
        <v>226</v>
      </c>
      <c r="F21" s="5">
        <v>3.0</v>
      </c>
      <c r="G21" s="11">
        <f t="array" ref="G21">INDEX('규칙'!$C$26:$C$30,F21)</f>
        <v>12</v>
      </c>
      <c r="H21" s="11">
        <f t="array" ref="H21">INDEX('규칙'!$E$26:$E$30,F21)</f>
        <v>3</v>
      </c>
      <c r="I21" s="5" t="s">
        <v>748</v>
      </c>
      <c r="J21" s="5"/>
      <c r="K21" s="12">
        <f t="shared" si="1"/>
        <v>0.55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76</v>
      </c>
      <c r="B22" s="5" t="s">
        <v>727</v>
      </c>
      <c r="C22" s="5" t="s">
        <v>732</v>
      </c>
      <c r="D22" s="5" t="s">
        <v>733</v>
      </c>
      <c r="E22" s="5" t="s">
        <v>234</v>
      </c>
      <c r="F22" s="5">
        <v>2.0</v>
      </c>
      <c r="G22" s="11">
        <f t="array" ref="G22">INDEX('규칙'!$C$26:$C$30,F22)</f>
        <v>9</v>
      </c>
      <c r="H22" s="11">
        <f t="array" ref="H22">INDEX('규칙'!$E$26:$E$30,F22)</f>
        <v>2</v>
      </c>
      <c r="I22" s="5" t="s">
        <v>632</v>
      </c>
      <c r="J22" s="5"/>
      <c r="K22" s="12">
        <f t="shared" si="1"/>
        <v>0.7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76</v>
      </c>
      <c r="B23" s="5" t="s">
        <v>718</v>
      </c>
      <c r="C23" s="5" t="s">
        <v>753</v>
      </c>
      <c r="D23" s="5"/>
      <c r="E23" s="5" t="s">
        <v>240</v>
      </c>
      <c r="F23" s="5">
        <v>4.0</v>
      </c>
      <c r="G23" s="11">
        <f t="array" ref="G23">INDEX('규칙'!$C$26:$C$30,F23)</f>
        <v>15</v>
      </c>
      <c r="H23" s="11">
        <f t="array" ref="H23">INDEX('규칙'!$E$26:$E$30,F23)</f>
        <v>4</v>
      </c>
      <c r="I23" s="5"/>
      <c r="J23" s="5">
        <v>20.0</v>
      </c>
      <c r="K23" s="12">
        <f t="shared" si="1"/>
        <v>0.4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215</v>
      </c>
      <c r="B24" s="5" t="s">
        <v>727</v>
      </c>
      <c r="C24" s="5" t="s">
        <v>746</v>
      </c>
      <c r="D24" s="5" t="s">
        <v>747</v>
      </c>
      <c r="E24" s="5" t="s">
        <v>226</v>
      </c>
      <c r="F24" s="5">
        <v>3.0</v>
      </c>
      <c r="G24" s="11">
        <f t="array" ref="G24">INDEX('규칙'!$C$26:$C$30,F24)</f>
        <v>12</v>
      </c>
      <c r="H24" s="11">
        <f t="array" ref="H24">INDEX('규칙'!$E$26:$E$30,F24)</f>
        <v>3</v>
      </c>
      <c r="I24" s="5" t="s">
        <v>748</v>
      </c>
      <c r="J24" s="5"/>
      <c r="K24" s="12">
        <f t="shared" si="1"/>
        <v>0.55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214</v>
      </c>
      <c r="B25" s="5" t="s">
        <v>727</v>
      </c>
      <c r="C25" s="5" t="s">
        <v>746</v>
      </c>
      <c r="D25" s="5" t="s">
        <v>754</v>
      </c>
      <c r="E25" s="5" t="s">
        <v>226</v>
      </c>
      <c r="F25" s="5">
        <v>4.0</v>
      </c>
      <c r="G25" s="11">
        <f t="array" ref="G25">INDEX('규칙'!$C$26:$C$30,F25)</f>
        <v>15</v>
      </c>
      <c r="H25" s="11">
        <f t="array" ref="H25">INDEX('규칙'!$E$26:$E$30,F25)</f>
        <v>4</v>
      </c>
      <c r="I25" s="5" t="s">
        <v>748</v>
      </c>
      <c r="J25" s="5"/>
      <c r="K25" s="12">
        <f t="shared" si="1"/>
        <v>0.4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214</v>
      </c>
      <c r="B26" s="5" t="s">
        <v>718</v>
      </c>
      <c r="C26" s="5" t="s">
        <v>755</v>
      </c>
      <c r="D26" s="5"/>
      <c r="E26" s="5" t="s">
        <v>240</v>
      </c>
      <c r="F26" s="5">
        <v>5.0</v>
      </c>
      <c r="G26" s="11">
        <f t="array" ref="G26">INDEX('규칙'!$C$26:$C$30,F26)</f>
        <v>18</v>
      </c>
      <c r="H26" s="11">
        <f t="array" ref="H26">INDEX('규칙'!$E$26:$E$30,F26)</f>
        <v>5</v>
      </c>
      <c r="I26" s="5"/>
      <c r="J26" s="5">
        <v>30.0</v>
      </c>
      <c r="K26" s="12">
        <f t="shared" si="1"/>
        <v>0.25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214</v>
      </c>
      <c r="B27" s="5" t="s">
        <v>758</v>
      </c>
      <c r="C27" s="5" t="s">
        <v>759</v>
      </c>
      <c r="D27" s="5" t="s">
        <v>760</v>
      </c>
      <c r="E27" s="5" t="s">
        <v>240</v>
      </c>
      <c r="F27" s="5">
        <v>4.0</v>
      </c>
      <c r="G27" s="11">
        <f t="array" ref="G27">INDEX('규칙'!$C$26:$C$30,F27)</f>
        <v>15</v>
      </c>
      <c r="H27" s="11">
        <f t="array" ref="H27">INDEX('규칙'!$E$26:$E$30,F27)</f>
        <v>4</v>
      </c>
      <c r="I27" s="5"/>
      <c r="J27" s="5"/>
      <c r="K27" s="12">
        <f t="shared" si="1"/>
        <v>0.4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212</v>
      </c>
      <c r="B28" s="5" t="s">
        <v>727</v>
      </c>
      <c r="C28" s="5" t="s">
        <v>764</v>
      </c>
      <c r="D28" s="5" t="s">
        <v>765</v>
      </c>
      <c r="E28" s="5" t="s">
        <v>234</v>
      </c>
      <c r="F28" s="5">
        <v>2.0</v>
      </c>
      <c r="G28" s="11">
        <f t="array" ref="G28">INDEX('규칙'!$C$26:$C$30,F28)</f>
        <v>9</v>
      </c>
      <c r="H28" s="11">
        <f t="array" ref="H28">INDEX('규칙'!$E$26:$E$30,F28)</f>
        <v>2</v>
      </c>
      <c r="I28" s="5"/>
      <c r="J28" s="5"/>
      <c r="K28" s="12">
        <f t="shared" si="1"/>
        <v>0.7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217</v>
      </c>
      <c r="B29" s="5" t="s">
        <v>727</v>
      </c>
      <c r="C29" s="5" t="s">
        <v>732</v>
      </c>
      <c r="D29" s="5" t="s">
        <v>733</v>
      </c>
      <c r="E29" s="5" t="s">
        <v>234</v>
      </c>
      <c r="F29" s="5">
        <v>2.0</v>
      </c>
      <c r="G29" s="11">
        <f t="array" ref="G29">INDEX('규칙'!$C$26:$C$30,F29)</f>
        <v>9</v>
      </c>
      <c r="H29" s="11">
        <f t="array" ref="H29">INDEX('규칙'!$E$26:$E$30,F29)</f>
        <v>2</v>
      </c>
      <c r="I29" s="5" t="s">
        <v>632</v>
      </c>
      <c r="J29" s="5"/>
      <c r="K29" s="12">
        <f t="shared" si="1"/>
        <v>0.7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217</v>
      </c>
      <c r="B30" s="5" t="s">
        <v>727</v>
      </c>
      <c r="C30" s="5" t="s">
        <v>764</v>
      </c>
      <c r="D30" s="5" t="s">
        <v>765</v>
      </c>
      <c r="E30" s="5" t="s">
        <v>234</v>
      </c>
      <c r="F30" s="5">
        <v>2.0</v>
      </c>
      <c r="G30" s="11">
        <f t="array" ref="G30">INDEX('규칙'!$C$26:$C$30,F30)</f>
        <v>9</v>
      </c>
      <c r="H30" s="11">
        <f t="array" ref="H30">INDEX('규칙'!$E$26:$E$30,F30)</f>
        <v>2</v>
      </c>
      <c r="I30" s="5"/>
      <c r="J30" s="5"/>
      <c r="K30" s="12">
        <f t="shared" si="1"/>
        <v>0.7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217</v>
      </c>
      <c r="B31" s="5" t="s">
        <v>718</v>
      </c>
      <c r="C31" s="5" t="s">
        <v>785</v>
      </c>
      <c r="D31" s="5"/>
      <c r="E31" s="5" t="s">
        <v>240</v>
      </c>
      <c r="F31" s="5">
        <v>3.0</v>
      </c>
      <c r="G31" s="11">
        <f t="array" ref="G31">INDEX('규칙'!$C$26:$C$30,F31)</f>
        <v>12</v>
      </c>
      <c r="H31" s="11">
        <f t="array" ref="H31">INDEX('규칙'!$E$26:$E$30,F31)</f>
        <v>3</v>
      </c>
      <c r="I31" s="5"/>
      <c r="J31" s="5">
        <v>25.0</v>
      </c>
      <c r="K31" s="12">
        <f t="shared" si="1"/>
        <v>0.55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 t="s">
        <v>792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2" t="s">
        <v>793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2" t="s">
        <v>794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1.0"/>
    <col customWidth="1" min="2" max="2" width="7.0"/>
    <col customWidth="1" min="3" max="3" width="10.0"/>
    <col customWidth="1" min="4" max="4" width="8.0"/>
    <col customWidth="1" min="5" max="12" width="6.0"/>
    <col customWidth="1" min="13" max="13" width="9.0"/>
    <col customWidth="1" min="14" max="14" width="14.0"/>
    <col customWidth="1" min="15" max="15" width="24.0"/>
    <col customWidth="1" min="16" max="16" width="9.0"/>
  </cols>
  <sheetData>
    <row r="1" ht="33.75" customHeight="1">
      <c r="A1" s="3" t="s">
        <v>139</v>
      </c>
      <c r="B1" s="3" t="s">
        <v>795</v>
      </c>
      <c r="C1" s="3" t="s">
        <v>796</v>
      </c>
      <c r="D1" s="3" t="s">
        <v>797</v>
      </c>
      <c r="E1" s="3" t="s">
        <v>199</v>
      </c>
      <c r="F1" s="3" t="s">
        <v>226</v>
      </c>
      <c r="G1" s="3" t="s">
        <v>230</v>
      </c>
      <c r="H1" s="3" t="s">
        <v>232</v>
      </c>
      <c r="I1" s="3" t="s">
        <v>234</v>
      </c>
      <c r="J1" s="3" t="s">
        <v>237</v>
      </c>
      <c r="K1" s="3" t="s">
        <v>240</v>
      </c>
      <c r="L1" s="3" t="s">
        <v>242</v>
      </c>
      <c r="M1" s="3" t="s">
        <v>798</v>
      </c>
      <c r="N1" s="3" t="s">
        <v>799</v>
      </c>
      <c r="O1" s="3" t="s">
        <v>800</v>
      </c>
      <c r="P1" s="3" t="s">
        <v>801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802</v>
      </c>
      <c r="B2" s="5" t="s">
        <v>803</v>
      </c>
      <c r="C2" s="5" t="s">
        <v>804</v>
      </c>
      <c r="D2" s="5" t="s">
        <v>226</v>
      </c>
      <c r="E2" s="5">
        <v>1.0</v>
      </c>
      <c r="F2" s="5">
        <v>3.0</v>
      </c>
      <c r="G2" s="5"/>
      <c r="H2" s="5"/>
      <c r="I2" s="5"/>
      <c r="J2" s="5"/>
      <c r="K2" s="5"/>
      <c r="L2" s="5"/>
      <c r="M2" s="11">
        <f t="shared" ref="M2:M15" si="1">SUM(F2:L2)</f>
        <v>3</v>
      </c>
      <c r="N2" s="5" t="s">
        <v>112</v>
      </c>
      <c r="O2" s="8" t="s">
        <v>263</v>
      </c>
      <c r="P2" s="5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805</v>
      </c>
      <c r="B3" s="5" t="s">
        <v>803</v>
      </c>
      <c r="C3" s="5" t="s">
        <v>806</v>
      </c>
      <c r="D3" s="5" t="s">
        <v>232</v>
      </c>
      <c r="E3" s="5">
        <v>1.0</v>
      </c>
      <c r="F3" s="5"/>
      <c r="G3" s="5"/>
      <c r="H3" s="5">
        <v>3.0</v>
      </c>
      <c r="I3" s="5"/>
      <c r="J3" s="5"/>
      <c r="K3" s="5"/>
      <c r="L3" s="5"/>
      <c r="M3" s="11">
        <f t="shared" si="1"/>
        <v>3</v>
      </c>
      <c r="N3" s="5" t="s">
        <v>112</v>
      </c>
      <c r="O3" s="8" t="s">
        <v>263</v>
      </c>
      <c r="P3" s="5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807</v>
      </c>
      <c r="B4" s="5" t="s">
        <v>803</v>
      </c>
      <c r="C4" s="5" t="s">
        <v>808</v>
      </c>
      <c r="D4" s="5" t="s">
        <v>237</v>
      </c>
      <c r="E4" s="5">
        <v>1.0</v>
      </c>
      <c r="F4" s="5"/>
      <c r="G4" s="5"/>
      <c r="H4" s="5"/>
      <c r="I4" s="5"/>
      <c r="J4" s="5">
        <v>3.0</v>
      </c>
      <c r="K4" s="5"/>
      <c r="L4" s="5"/>
      <c r="M4" s="11">
        <f t="shared" si="1"/>
        <v>3</v>
      </c>
      <c r="N4" s="5" t="s">
        <v>112</v>
      </c>
      <c r="O4" s="8" t="s">
        <v>263</v>
      </c>
      <c r="P4" s="5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809</v>
      </c>
      <c r="B5" s="5" t="s">
        <v>803</v>
      </c>
      <c r="C5" s="5" t="s">
        <v>810</v>
      </c>
      <c r="D5" s="5" t="s">
        <v>230</v>
      </c>
      <c r="E5" s="5">
        <v>1.0</v>
      </c>
      <c r="F5" s="5"/>
      <c r="G5" s="5">
        <v>3.0</v>
      </c>
      <c r="H5" s="5"/>
      <c r="I5" s="5"/>
      <c r="J5" s="5"/>
      <c r="K5" s="5"/>
      <c r="L5" s="5"/>
      <c r="M5" s="11">
        <f t="shared" si="1"/>
        <v>3</v>
      </c>
      <c r="N5" s="5" t="s">
        <v>112</v>
      </c>
      <c r="O5" s="8" t="s">
        <v>263</v>
      </c>
      <c r="P5" s="5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811</v>
      </c>
      <c r="B6" s="5" t="s">
        <v>803</v>
      </c>
      <c r="C6" s="5" t="s">
        <v>804</v>
      </c>
      <c r="D6" s="5" t="s">
        <v>226</v>
      </c>
      <c r="E6" s="5">
        <v>2.0</v>
      </c>
      <c r="F6" s="5">
        <v>4.0</v>
      </c>
      <c r="G6" s="5">
        <v>2.0</v>
      </c>
      <c r="H6" s="5"/>
      <c r="I6" s="5"/>
      <c r="J6" s="5"/>
      <c r="K6" s="5"/>
      <c r="L6" s="5"/>
      <c r="M6" s="11">
        <f t="shared" si="1"/>
        <v>6</v>
      </c>
      <c r="N6" s="5" t="s">
        <v>812</v>
      </c>
      <c r="O6" s="5" t="s">
        <v>813</v>
      </c>
      <c r="P6" s="5">
        <v>3.0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814</v>
      </c>
      <c r="B7" s="5" t="s">
        <v>803</v>
      </c>
      <c r="C7" s="5" t="s">
        <v>806</v>
      </c>
      <c r="D7" s="5" t="s">
        <v>232</v>
      </c>
      <c r="E7" s="5">
        <v>2.0</v>
      </c>
      <c r="F7" s="5"/>
      <c r="G7" s="5"/>
      <c r="H7" s="5">
        <v>4.0</v>
      </c>
      <c r="I7" s="5"/>
      <c r="J7" s="5"/>
      <c r="K7" s="5">
        <v>2.0</v>
      </c>
      <c r="L7" s="5"/>
      <c r="M7" s="11">
        <f t="shared" si="1"/>
        <v>6</v>
      </c>
      <c r="N7" s="5" t="s">
        <v>812</v>
      </c>
      <c r="O7" s="5" t="s">
        <v>815</v>
      </c>
      <c r="P7" s="5">
        <v>3.0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816</v>
      </c>
      <c r="B8" s="5" t="s">
        <v>803</v>
      </c>
      <c r="C8" s="5" t="s">
        <v>808</v>
      </c>
      <c r="D8" s="5" t="s">
        <v>237</v>
      </c>
      <c r="E8" s="5">
        <v>2.0</v>
      </c>
      <c r="F8" s="5"/>
      <c r="G8" s="5"/>
      <c r="H8" s="5"/>
      <c r="I8" s="5"/>
      <c r="J8" s="5">
        <v>4.0</v>
      </c>
      <c r="K8" s="5"/>
      <c r="L8" s="5">
        <v>2.0</v>
      </c>
      <c r="M8" s="11">
        <f t="shared" si="1"/>
        <v>6</v>
      </c>
      <c r="N8" s="5" t="s">
        <v>812</v>
      </c>
      <c r="O8" s="5" t="s">
        <v>817</v>
      </c>
      <c r="P8" s="5">
        <v>4.0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818</v>
      </c>
      <c r="B9" s="5" t="s">
        <v>803</v>
      </c>
      <c r="C9" s="5" t="s">
        <v>810</v>
      </c>
      <c r="D9" s="5" t="s">
        <v>230</v>
      </c>
      <c r="E9" s="5">
        <v>2.0</v>
      </c>
      <c r="F9" s="5"/>
      <c r="G9" s="5">
        <v>4.0</v>
      </c>
      <c r="H9" s="5"/>
      <c r="I9" s="5"/>
      <c r="J9" s="5"/>
      <c r="K9" s="5">
        <v>2.0</v>
      </c>
      <c r="L9" s="5"/>
      <c r="M9" s="11">
        <f t="shared" si="1"/>
        <v>6</v>
      </c>
      <c r="N9" s="5" t="s">
        <v>812</v>
      </c>
      <c r="O9" s="5" t="s">
        <v>819</v>
      </c>
      <c r="P9" s="5">
        <v>3.0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820</v>
      </c>
      <c r="B10" s="5" t="s">
        <v>803</v>
      </c>
      <c r="C10" s="5" t="s">
        <v>804</v>
      </c>
      <c r="D10" s="5" t="s">
        <v>226</v>
      </c>
      <c r="E10" s="5">
        <v>3.0</v>
      </c>
      <c r="F10" s="5">
        <v>6.0</v>
      </c>
      <c r="G10" s="5">
        <v>3.0</v>
      </c>
      <c r="H10" s="5">
        <v>-2.0</v>
      </c>
      <c r="I10" s="5"/>
      <c r="J10" s="5"/>
      <c r="K10" s="5"/>
      <c r="L10" s="5"/>
      <c r="M10" s="11">
        <f t="shared" si="1"/>
        <v>7</v>
      </c>
      <c r="N10" s="5" t="s">
        <v>131</v>
      </c>
      <c r="O10" s="5" t="s">
        <v>821</v>
      </c>
      <c r="P10" s="5">
        <v>10.0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822</v>
      </c>
      <c r="B11" s="5" t="s">
        <v>803</v>
      </c>
      <c r="C11" s="5" t="s">
        <v>806</v>
      </c>
      <c r="D11" s="5" t="s">
        <v>232</v>
      </c>
      <c r="E11" s="5">
        <v>3.0</v>
      </c>
      <c r="F11" s="5"/>
      <c r="G11" s="5"/>
      <c r="H11" s="5">
        <v>6.0</v>
      </c>
      <c r="I11" s="5"/>
      <c r="J11" s="5"/>
      <c r="K11" s="5">
        <v>3.0</v>
      </c>
      <c r="L11" s="5"/>
      <c r="M11" s="11">
        <f t="shared" si="1"/>
        <v>9</v>
      </c>
      <c r="N11" s="5" t="s">
        <v>131</v>
      </c>
      <c r="O11" s="5" t="s">
        <v>823</v>
      </c>
      <c r="P11" s="5">
        <v>10.0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824</v>
      </c>
      <c r="B12" s="5" t="s">
        <v>803</v>
      </c>
      <c r="C12" s="5" t="s">
        <v>808</v>
      </c>
      <c r="D12" s="5" t="s">
        <v>237</v>
      </c>
      <c r="E12" s="5">
        <v>3.0</v>
      </c>
      <c r="F12" s="5"/>
      <c r="G12" s="5"/>
      <c r="H12" s="5"/>
      <c r="I12" s="5"/>
      <c r="J12" s="5">
        <v>6.0</v>
      </c>
      <c r="K12" s="5"/>
      <c r="L12" s="5">
        <v>3.0</v>
      </c>
      <c r="M12" s="11">
        <f t="shared" si="1"/>
        <v>9</v>
      </c>
      <c r="N12" s="5" t="s">
        <v>131</v>
      </c>
      <c r="O12" s="5" t="s">
        <v>825</v>
      </c>
      <c r="P12" s="5">
        <v>10.0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826</v>
      </c>
      <c r="B13" s="5" t="s">
        <v>803</v>
      </c>
      <c r="C13" s="5" t="s">
        <v>810</v>
      </c>
      <c r="D13" s="5" t="s">
        <v>230</v>
      </c>
      <c r="E13" s="5">
        <v>3.0</v>
      </c>
      <c r="F13" s="5"/>
      <c r="G13" s="5">
        <v>6.0</v>
      </c>
      <c r="H13" s="5"/>
      <c r="I13" s="5"/>
      <c r="J13" s="5"/>
      <c r="K13" s="5">
        <v>3.0</v>
      </c>
      <c r="L13" s="5"/>
      <c r="M13" s="11">
        <f t="shared" si="1"/>
        <v>9</v>
      </c>
      <c r="N13" s="5" t="s">
        <v>131</v>
      </c>
      <c r="O13" s="5" t="s">
        <v>827</v>
      </c>
      <c r="P13" s="5">
        <v>10.0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828</v>
      </c>
      <c r="B14" s="5" t="s">
        <v>829</v>
      </c>
      <c r="C14" s="8" t="s">
        <v>263</v>
      </c>
      <c r="D14" s="8" t="s">
        <v>263</v>
      </c>
      <c r="E14" s="8" t="s">
        <v>263</v>
      </c>
      <c r="F14" s="5"/>
      <c r="G14" s="5">
        <v>2.0</v>
      </c>
      <c r="H14" s="5">
        <v>2.0</v>
      </c>
      <c r="I14" s="5"/>
      <c r="J14" s="5"/>
      <c r="K14" s="5"/>
      <c r="L14" s="5"/>
      <c r="M14" s="11">
        <f t="shared" si="1"/>
        <v>4</v>
      </c>
      <c r="N14" s="5" t="s">
        <v>131</v>
      </c>
      <c r="O14" s="5" t="s">
        <v>830</v>
      </c>
      <c r="P14" s="5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831</v>
      </c>
      <c r="B15" s="5" t="s">
        <v>829</v>
      </c>
      <c r="C15" s="8" t="s">
        <v>263</v>
      </c>
      <c r="D15" s="8" t="s">
        <v>263</v>
      </c>
      <c r="E15" s="8" t="s">
        <v>263</v>
      </c>
      <c r="F15" s="5"/>
      <c r="G15" s="5">
        <v>6.0</v>
      </c>
      <c r="H15" s="5">
        <v>-2.0</v>
      </c>
      <c r="I15" s="5"/>
      <c r="J15" s="5"/>
      <c r="K15" s="5"/>
      <c r="L15" s="5"/>
      <c r="M15" s="11">
        <f t="shared" si="1"/>
        <v>4</v>
      </c>
      <c r="N15" s="5" t="s">
        <v>131</v>
      </c>
      <c r="O15" s="5" t="s">
        <v>832</v>
      </c>
      <c r="P15" s="5">
        <v>10.0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2" t="s">
        <v>833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2" t="s">
        <v>834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8" t="s">
        <v>835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2.0"/>
    <col customWidth="1" min="2" max="2" width="10.0"/>
    <col customWidth="1" min="3" max="3" width="12.0"/>
    <col customWidth="1" min="4" max="4" width="10.0"/>
    <col customWidth="1" min="5" max="5" width="15.29"/>
    <col customWidth="1" min="6" max="8" width="8.71"/>
  </cols>
  <sheetData>
    <row r="1" ht="33.75" customHeight="1">
      <c r="A1" s="13" t="s">
        <v>836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3" t="s">
        <v>837</v>
      </c>
      <c r="B2" s="3" t="s">
        <v>838</v>
      </c>
      <c r="C2" s="3" t="s">
        <v>839</v>
      </c>
      <c r="D2" s="3" t="s">
        <v>840</v>
      </c>
      <c r="E2" s="3" t="s">
        <v>225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802</v>
      </c>
      <c r="B3" s="5">
        <v>4.0</v>
      </c>
      <c r="C3" s="5"/>
      <c r="D3" s="5"/>
      <c r="E3" s="5" t="s">
        <v>841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805</v>
      </c>
      <c r="B4" s="5">
        <v>5.0</v>
      </c>
      <c r="C4" s="5"/>
      <c r="D4" s="5"/>
      <c r="E4" s="5" t="s">
        <v>842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807</v>
      </c>
      <c r="B5" s="5">
        <v>5.0</v>
      </c>
      <c r="C5" s="5"/>
      <c r="D5" s="5"/>
      <c r="E5" s="5" t="s">
        <v>843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809</v>
      </c>
      <c r="B6" s="5">
        <v>5.0</v>
      </c>
      <c r="C6" s="5"/>
      <c r="D6" s="5"/>
      <c r="E6" s="5" t="s">
        <v>844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632</v>
      </c>
      <c r="B7" s="5">
        <v>6.0</v>
      </c>
      <c r="C7" s="5">
        <v>5.0</v>
      </c>
      <c r="D7" s="5"/>
      <c r="E7" s="5" t="s">
        <v>845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748</v>
      </c>
      <c r="B8" s="5">
        <v>8.0</v>
      </c>
      <c r="C8" s="5">
        <v>12.0</v>
      </c>
      <c r="D8" s="5">
        <v>7.0</v>
      </c>
      <c r="E8" s="5" t="s">
        <v>846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847</v>
      </c>
      <c r="B9" s="5">
        <v>10.0</v>
      </c>
      <c r="C9" s="5">
        <v>14.0</v>
      </c>
      <c r="D9" s="5">
        <v>9.0</v>
      </c>
      <c r="E9" s="5" t="s">
        <v>848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648</v>
      </c>
      <c r="B10" s="5"/>
      <c r="C10" s="5">
        <v>45.0</v>
      </c>
      <c r="D10" s="5">
        <v>40.0</v>
      </c>
      <c r="E10" s="5" t="s">
        <v>849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850</v>
      </c>
      <c r="B11" s="5"/>
      <c r="C11" s="5"/>
      <c r="D11" s="5">
        <v>130.0</v>
      </c>
      <c r="E11" s="5" t="s">
        <v>849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3" t="s">
        <v>851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852</v>
      </c>
      <c r="B16" s="3" t="s">
        <v>853</v>
      </c>
      <c r="C16" s="3" t="s">
        <v>854</v>
      </c>
      <c r="D16" s="3" t="s">
        <v>855</v>
      </c>
      <c r="E16" s="3" t="s">
        <v>856</v>
      </c>
      <c r="F16" s="3" t="s">
        <v>857</v>
      </c>
      <c r="G16" s="3" t="s">
        <v>858</v>
      </c>
      <c r="H16" s="3" t="s">
        <v>859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860</v>
      </c>
      <c r="B17" s="5">
        <v>3.0</v>
      </c>
      <c r="C17" s="47">
        <v>1.0</v>
      </c>
      <c r="D17" s="47">
        <v>1.5</v>
      </c>
      <c r="E17" s="47">
        <v>0.7</v>
      </c>
      <c r="F17" s="11">
        <f t="shared" ref="F17:H17" si="1">MAX(1,ROUND($B17*C17*(1+0.1*($B$31-2)),0))</f>
        <v>3</v>
      </c>
      <c r="G17" s="11">
        <f t="shared" si="1"/>
        <v>5</v>
      </c>
      <c r="H17" s="11">
        <f t="shared" si="1"/>
        <v>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861</v>
      </c>
      <c r="B18" s="5">
        <v>8.0</v>
      </c>
      <c r="C18" s="47">
        <v>1.0</v>
      </c>
      <c r="D18" s="47">
        <v>1.5</v>
      </c>
      <c r="E18" s="47">
        <v>0.8</v>
      </c>
      <c r="F18" s="11">
        <f t="shared" ref="F18:H18" si="2">MAX(1,ROUND($B18*C18*(1+0.1*($B$31-2)),0))</f>
        <v>8</v>
      </c>
      <c r="G18" s="11">
        <f t="shared" si="2"/>
        <v>12</v>
      </c>
      <c r="H18" s="11">
        <f t="shared" si="2"/>
        <v>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862</v>
      </c>
      <c r="B19" s="5">
        <v>4.0</v>
      </c>
      <c r="C19" s="47">
        <v>1.0</v>
      </c>
      <c r="D19" s="47">
        <v>0.9</v>
      </c>
      <c r="E19" s="47">
        <v>1.2</v>
      </c>
      <c r="F19" s="11">
        <f t="shared" ref="F19:H19" si="3">MAX(1,ROUND($B19*C19*(1+0.1*($B$31-2)),0))</f>
        <v>4</v>
      </c>
      <c r="G19" s="11">
        <f t="shared" si="3"/>
        <v>4</v>
      </c>
      <c r="H19" s="11">
        <f t="shared" si="3"/>
        <v>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863</v>
      </c>
      <c r="B20" s="5">
        <v>5.0</v>
      </c>
      <c r="C20" s="47">
        <v>1.0</v>
      </c>
      <c r="D20" s="47">
        <v>1.0</v>
      </c>
      <c r="E20" s="47">
        <v>1.3</v>
      </c>
      <c r="F20" s="11">
        <f t="shared" ref="F20:H20" si="4">MAX(1,ROUND($B20*C20*(1+0.1*($B$31-2)),0))</f>
        <v>5</v>
      </c>
      <c r="G20" s="11">
        <f t="shared" si="4"/>
        <v>5</v>
      </c>
      <c r="H20" s="11">
        <f t="shared" si="4"/>
        <v>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864</v>
      </c>
      <c r="B21" s="5">
        <v>2.0</v>
      </c>
      <c r="C21" s="47">
        <v>1.0</v>
      </c>
      <c r="D21" s="47">
        <v>1.0</v>
      </c>
      <c r="E21" s="47">
        <v>1.0</v>
      </c>
      <c r="F21" s="11">
        <f t="shared" ref="F21:H21" si="5">MAX(1,ROUND($B21*C21*(1+0.1*($B$31-2)),0))</f>
        <v>2</v>
      </c>
      <c r="G21" s="11">
        <f t="shared" si="5"/>
        <v>2</v>
      </c>
      <c r="H21" s="11">
        <f t="shared" si="5"/>
        <v>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865</v>
      </c>
      <c r="B22" s="5">
        <v>3.0</v>
      </c>
      <c r="C22" s="47">
        <v>1.0</v>
      </c>
      <c r="D22" s="47">
        <v>1.0</v>
      </c>
      <c r="E22" s="47">
        <v>1.0</v>
      </c>
      <c r="F22" s="11">
        <f t="shared" ref="F22:H22" si="6">MAX(1,ROUND($B22*C22*(1+0.1*($B$31-2)),0))</f>
        <v>3</v>
      </c>
      <c r="G22" s="11">
        <f t="shared" si="6"/>
        <v>3</v>
      </c>
      <c r="H22" s="11">
        <f t="shared" si="6"/>
        <v>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866</v>
      </c>
      <c r="B23" s="5">
        <v>2.0</v>
      </c>
      <c r="C23" s="47">
        <v>1.0</v>
      </c>
      <c r="D23" s="47">
        <v>1.0</v>
      </c>
      <c r="E23" s="47">
        <v>1.0</v>
      </c>
      <c r="F23" s="11">
        <f t="shared" ref="F23:H23" si="7">MAX(1,ROUND($B23*C23*(1+0.1*($B$31-2)),0))</f>
        <v>2</v>
      </c>
      <c r="G23" s="11">
        <f t="shared" si="7"/>
        <v>2</v>
      </c>
      <c r="H23" s="11">
        <f t="shared" si="7"/>
        <v>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867</v>
      </c>
      <c r="B24" s="5">
        <v>4.0</v>
      </c>
      <c r="C24" s="47">
        <v>1.0</v>
      </c>
      <c r="D24" s="47">
        <v>1.0</v>
      </c>
      <c r="E24" s="47">
        <v>1.0</v>
      </c>
      <c r="F24" s="11">
        <f t="shared" ref="F24:H24" si="8">MAX(1,ROUND($B24*C24*(1+0.1*($B$31-2)),0))</f>
        <v>4</v>
      </c>
      <c r="G24" s="11">
        <f t="shared" si="8"/>
        <v>4</v>
      </c>
      <c r="H24" s="11">
        <f t="shared" si="8"/>
        <v>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868</v>
      </c>
      <c r="B25" s="5">
        <v>4.0</v>
      </c>
      <c r="C25" s="47">
        <v>1.0</v>
      </c>
      <c r="D25" s="47">
        <v>1.0</v>
      </c>
      <c r="E25" s="47">
        <v>1.0</v>
      </c>
      <c r="F25" s="11">
        <f t="shared" ref="F25:H25" si="9">MAX(1,ROUND($B25*C25*(1+0.1*($B$31-2)),0))</f>
        <v>4</v>
      </c>
      <c r="G25" s="11">
        <f t="shared" si="9"/>
        <v>4</v>
      </c>
      <c r="H25" s="11">
        <f t="shared" si="9"/>
        <v>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869</v>
      </c>
      <c r="B26" s="5">
        <v>3.0</v>
      </c>
      <c r="C26" s="47">
        <v>1.0</v>
      </c>
      <c r="D26" s="47">
        <v>1.0</v>
      </c>
      <c r="E26" s="47">
        <v>1.0</v>
      </c>
      <c r="F26" s="11">
        <f t="shared" ref="F26:H26" si="10">MAX(1,ROUND($B26*C26*(1+0.1*($B$31-2)),0))</f>
        <v>3</v>
      </c>
      <c r="G26" s="11">
        <f t="shared" si="10"/>
        <v>3</v>
      </c>
      <c r="H26" s="11">
        <f t="shared" si="10"/>
        <v>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870</v>
      </c>
      <c r="B27" s="5">
        <v>6.0</v>
      </c>
      <c r="C27" s="47">
        <v>1.0</v>
      </c>
      <c r="D27" s="47">
        <v>0.8</v>
      </c>
      <c r="E27" s="47">
        <v>1.3</v>
      </c>
      <c r="F27" s="11">
        <f t="shared" ref="F27:H27" si="11">MAX(1,ROUND($B27*C27*(1+0.1*($B$31-2)),0))</f>
        <v>6</v>
      </c>
      <c r="G27" s="11">
        <f t="shared" si="11"/>
        <v>5</v>
      </c>
      <c r="H27" s="11">
        <f t="shared" si="11"/>
        <v>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871</v>
      </c>
      <c r="B28" s="5">
        <v>10.0</v>
      </c>
      <c r="C28" s="47">
        <v>1.0</v>
      </c>
      <c r="D28" s="47">
        <v>1.0</v>
      </c>
      <c r="E28" s="47">
        <v>1.2</v>
      </c>
      <c r="F28" s="11">
        <f t="shared" ref="F28:H28" si="12">MAX(1,ROUND($B28*C28*(1+0.1*($B$31-2)),0))</f>
        <v>10</v>
      </c>
      <c r="G28" s="11">
        <f t="shared" si="12"/>
        <v>10</v>
      </c>
      <c r="H28" s="11">
        <f t="shared" si="12"/>
        <v>12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1" t="s">
        <v>872</v>
      </c>
      <c r="B31" s="48">
        <v>2.0</v>
      </c>
      <c r="C31" s="22" t="s">
        <v>873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E1"/>
    <mergeCell ref="A15:H15"/>
  </mergeCells>
  <printOptions/>
  <pageMargins bottom="1.0" footer="0.0" header="0.0" left="0.75" right="0.75" top="1.0"/>
  <pageSetup paperSize="9" orientation="portrait"/>
  <drawing r:id="rId1"/>
</worksheet>
</file>